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9" activeTab="8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  <sheet name="TESTS" sheetId="9" r:id="rId9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<sst xmlns="http://schemas.openxmlformats.org/spreadsheetml/2006/main" count="184" uniqueCount="102">
  <si>
    <t>HEURES</t>
  </si>
  <si>
    <t>CONSIGNES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</si>
  <si>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</si>
  <si>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</si>
  <si>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</si>
  <si>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</si>
  <si>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</si>
  <si>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</si>
  <si>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</si>
  <si>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</si>
  <si>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</si>
  <si>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</si>
  <si>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</si>
  <si>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</si>
  <si>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Test iPad</t>
  </si>
  <si>
    <t>← votre nom : il s'affiche en haut des listes imprimées</t>
  </si>
  <si>
    <t>GOOGLE SHEETS : PAS DE CASES À COCHER ?  TAPEZ SIMPLEMENT « X »</t>
  </si>
  <si>
    <t>Un X dans la case du jour (LUNDI, MARDI…) ou dans TOUS LES JOURS fonctionne exactement comme une case cochée.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</si>
  <si>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</si>
  <si>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</si>
  <si>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</si>
  <si>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 (dans Google Sheets : tapez X dans la case).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</si>
  <si>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</si>
  <si>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</si>
  <si>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</si>
  <si>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</si>
  <si>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</si>
  <si>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</si>
  <si>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</si>
  <si>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</si>
  <si>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</si>
  <si>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</si>
  <si>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</si>
  <si>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</si>
  <si>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</si>
  <si>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</si>
  <si>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</si>
  <si>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</si>
  <si>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</si>
  <si>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</si>
  <si>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</si>
  <si>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</si>
  <si>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</si>
  <si>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Dans Google Sheets, avec des X :</t>
  </si>
  <si>
    <t>09:00</t>
  </si>
  <si>
    <t>LA BONNE TABLE</t>
  </si>
  <si>
    <t>X</t>
  </si>
  <si>
    <t>➜ apparaît dans les feuilles LUNDI et JEUDI, à 09:00. Un X suffit !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</si>
  <si>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</si>
  <si>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</si>
  <si>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</si>
  <si>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</si>
  <si>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</si>
  <si>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Tapez simplement X dans la case du jour (majuscule ou minuscule) : rien d'autre à faire.</t>
  </si>
  <si>
    <t>•  Pour imprimer : Fichier &gt; Imprimer, puis choisissez la feuille du jour.</t>
  </si>
  <si>
    <t>•  Facultatif, pour avoir de vraies cases à cocher : feuille BASECLIENTS, tapez E2:J1001 dans la zone de nom (en haut à gauche, à côté de fx), Entrée, puis Insertion &gt; Case à cocher.</t>
  </si>
  <si>
    <t>•  Retour vers Excel : les cases deviennent VRAI / FAUX. Dans Excel, sélectionnez E2:J1001 de BASECLIENTS puis Insertion &gt; Case à cocher.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</si>
  <si>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</si>
  <si>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</si>
  <si>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</si>
  <si>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</si>
  <si>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</si>
  <si>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</si>
  <si>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</si>
  <si>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</si>
  <si>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</si>
  <si>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</si>
  <si>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</si>
  <si>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</si>
  <si>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</si>
  <si>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</si>
  <si>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</si>
  <si>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CLIENT A</t>
  </si>
  <si>
    <t>0600000001</t>
  </si>
  <si>
    <t>CLIENT B</t>
  </si>
  <si>
    <t>0600000002</t>
  </si>
  <si>
    <t>CLIENT C</t>
  </si>
  <si>
    <t>0600000003</t>
  </si>
  <si>
    <t>CLIENT D</t>
  </si>
  <si>
    <t>0600000004</t>
  </si>
  <si>
    <t>NOTES</t>
  </si>
  <si>
    <t>CLÉ (calcul)</t>
  </si>
  <si>
    <t>LIGNE (calcul)</t>
  </si>
  <si>
    <t>TEST NUMBERS : tout doit afficher OK</t>
  </si>
  <si>
    <t>Test</t>
  </si>
  <si>
    <t>Résultat</t>
  </si>
  <si>
    <t>1. Numéro de ligne ROW()</t>
  </si>
  <si>
    <t>2. INDEX sur colonne entière</t>
  </si>
  <si>
    <t>3. INDEX + ROW()</t>
  </si>
  <si>
    <t>4. Lecture d'une heure (09:30)</t>
  </si>
  <si>
    <t>5. Heure vide = fin de liste</t>
  </si>
  <si>
    <t>6. Case cochée (VRAI)</t>
  </si>
  <si>
    <t>7. Case avec X</t>
  </si>
  <si>
    <t>8. Texte LEFT</t>
  </si>
  <si>
    <t>9. SMALL avec cases vides</t>
  </si>
  <si>
    <t>10. MATCH</t>
  </si>
  <si>
    <t>11. Titre avec le nom du commercial</t>
  </si>
  <si>
    <t>12. LUNDI ligne 1 = CLIENT B (08:00)</t>
  </si>
  <si>
    <t>13. LUNDI ligne 2 = CLIENT A (09:30)</t>
  </si>
  <si>
    <t>14. LUNDI ligne 3 = CLIENT C (sans heure)</t>
  </si>
  <si>
    <t>15. LUNDI ligne 4 vide (CLIENT D non coché)</t>
  </si>
  <si>
    <t>BILAN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</si>
</sst>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2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7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 wrapText="1"/>
    </xf>
    <xf numFmtId="0" fontId="14" fillId="5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 indent="1" wrapText="1"/>
    </xf>
    <xf numFmtId="0" fontId="2" fillId="10" borderId="0" xfId="0" applyFont="1" applyFill="1" applyAlignment="1">
      <alignment horizontal="left" vertical="center" indent="1" wrapText="1"/>
    </xf>
    <xf numFmtId="0" fontId="16" fillId="6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" xfId="0" applyFont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6" totalsRowShown="0">
  <autoFilter ref="A1:M6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13</v>
      </c>
      <c r="C4" s="3"/>
      <c r="D4" s="4" t="s">
        <v>14</v>
      </c>
      <c r="E4" s="4"/>
      <c r="F4" s="4"/>
      <c r="G4" s="2" t="s">
        <v>15</v>
      </c>
      <c r="H4" s="2"/>
      <c r="I4" s="2"/>
      <c r="J4" s="2"/>
      <c r="K4" s="2"/>
    </row>
    <row r="6" spans="2:11" ht="34" customHeight="1"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</row>
    <row r="7" spans="2:11" ht="36" customHeight="1">
      <c r="B7" s="6" t="s">
        <v>17</v>
      </c>
      <c r="C7" s="6"/>
      <c r="D7" s="6"/>
      <c r="E7" s="6"/>
      <c r="F7" s="6"/>
      <c r="G7" s="6"/>
      <c r="H7" s="6"/>
      <c r="I7" s="6"/>
      <c r="J7" s="6"/>
      <c r="K7" s="6"/>
    </row>
    <row r="9" spans="2:11">
      <c r="B9" s="7" t="s">
        <v>18</v>
      </c>
      <c r="C9" s="7"/>
      <c r="D9" s="7"/>
      <c r="E9" s="7"/>
      <c r="F9" s="7"/>
      <c r="G9" s="7"/>
      <c r="H9" s="7"/>
      <c r="I9" s="7"/>
      <c r="J9" s="7"/>
      <c r="K9" s="7"/>
    </row>
    <row r="11" spans="2:11" ht="36" customHeight="1">
      <c r="B11" s="8">
        <v>1</v>
      </c>
      <c r="C11" s="9" t="s">
        <v>19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2</v>
      </c>
      <c r="C12" s="9" t="s">
        <v>20</v>
      </c>
      <c r="D12" s="9"/>
      <c r="E12" s="9"/>
      <c r="F12" s="9"/>
      <c r="G12" s="9"/>
      <c r="H12" s="9"/>
      <c r="I12" s="9"/>
      <c r="J12" s="9"/>
      <c r="K12" s="9"/>
    </row>
    <row r="13" spans="2:11" ht="36" customHeight="1">
      <c r="B13" s="8">
        <v>3</v>
      </c>
      <c r="C13" s="9" t="s">
        <v>21</v>
      </c>
      <c r="D13" s="9"/>
      <c r="E13" s="9"/>
      <c r="F13" s="9"/>
      <c r="G13" s="9"/>
      <c r="H13" s="9"/>
      <c r="I13" s="9"/>
      <c r="J13" s="9"/>
      <c r="K13" s="9"/>
    </row>
    <row r="14" spans="2:11" ht="36" customHeight="1">
      <c r="B14" s="8">
        <v>4</v>
      </c>
      <c r="C14" s="9" t="s">
        <v>22</v>
      </c>
      <c r="D14" s="9"/>
      <c r="E14" s="9"/>
      <c r="F14" s="9"/>
      <c r="G14" s="9"/>
      <c r="H14" s="9"/>
      <c r="I14" s="9"/>
      <c r="J14" s="9"/>
      <c r="K14" s="9"/>
    </row>
    <row r="15" spans="2:11" ht="36" customHeight="1">
      <c r="B15" s="8">
        <v>5</v>
      </c>
      <c r="C15" s="9" t="s">
        <v>23</v>
      </c>
      <c r="D15" s="9"/>
      <c r="E15" s="9"/>
      <c r="F15" s="9"/>
      <c r="G15" s="9"/>
      <c r="H15" s="9"/>
      <c r="I15" s="9"/>
      <c r="J15" s="9"/>
      <c r="K15" s="9"/>
    </row>
    <row r="16" spans="2:11" ht="36" customHeight="1">
      <c r="B16" s="8">
        <v>6</v>
      </c>
      <c r="C16" s="9" t="s">
        <v>24</v>
      </c>
      <c r="D16" s="9"/>
      <c r="E16" s="9"/>
      <c r="F16" s="9"/>
      <c r="G16" s="9"/>
      <c r="H16" s="9"/>
      <c r="I16" s="9"/>
      <c r="J16" s="9"/>
      <c r="K16" s="9"/>
    </row>
    <row r="18" spans="2:11">
      <c r="B18" s="7" t="s">
        <v>25</v>
      </c>
      <c r="C18" s="7"/>
      <c r="D18" s="7"/>
      <c r="E18" s="7"/>
      <c r="F18" s="7"/>
      <c r="G18" s="7"/>
      <c r="H18" s="7"/>
      <c r="I18" s="7"/>
      <c r="J18" s="7"/>
      <c r="K18" s="7"/>
    </row>
    <row r="20" spans="2:11">
      <c r="C20" s="10" t="s">
        <v>26</v>
      </c>
      <c r="D20" s="10" t="s">
        <v>27</v>
      </c>
      <c r="E20" s="10" t="s">
        <v>28</v>
      </c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34</v>
      </c>
    </row>
    <row r="21" spans="2:11">
      <c r="C21" s="11" t="s">
        <v>35</v>
      </c>
      <c r="D21" s="12" t="s">
        <v>36</v>
      </c>
      <c r="E21" s="11" t="s">
        <v>37</v>
      </c>
      <c r="F21" s="11" t="s">
        <v>38</v>
      </c>
      <c r="G21" s="11" t="s">
        <v>37</v>
      </c>
      <c r="H21" s="11" t="s">
        <v>38</v>
      </c>
      <c r="I21" s="11" t="s">
        <v>37</v>
      </c>
      <c r="J21" s="11" t="s">
        <v>37</v>
      </c>
      <c r="K21" s="12" t="s">
        <v>2</v>
      </c>
    </row>
    <row r="22" spans="2:11">
      <c r="C22" s="13" t="s">
        <v>39</v>
      </c>
      <c r="D22" s="13"/>
      <c r="E22" s="13"/>
      <c r="F22" s="13"/>
      <c r="G22" s="13"/>
      <c r="H22" s="13"/>
      <c r="I22" s="13"/>
      <c r="J22" s="13"/>
      <c r="K22" s="13"/>
    </row>
    <row r="24" spans="2:11">
      <c r="C24" s="10" t="s">
        <v>26</v>
      </c>
      <c r="D24" s="10" t="s">
        <v>27</v>
      </c>
      <c r="E24" s="10" t="s">
        <v>28</v>
      </c>
      <c r="F24" s="10" t="s">
        <v>29</v>
      </c>
      <c r="G24" s="10" t="s">
        <v>30</v>
      </c>
      <c r="H24" s="10" t="s">
        <v>31</v>
      </c>
      <c r="I24" s="10" t="s">
        <v>32</v>
      </c>
      <c r="J24" s="10" t="s">
        <v>33</v>
      </c>
      <c r="K24" s="10" t="s">
        <v>34</v>
      </c>
    </row>
    <row r="25" spans="2:11">
      <c r="C25" s="11" t="s">
        <v>40</v>
      </c>
      <c r="D25" s="12" t="s">
        <v>41</v>
      </c>
      <c r="E25" s="11" t="s">
        <v>38</v>
      </c>
      <c r="F25" s="14"/>
      <c r="G25" s="14"/>
      <c r="H25" s="14"/>
      <c r="I25" s="14"/>
      <c r="J25" s="14"/>
      <c r="K25" s="12" t="s">
        <v>8</v>
      </c>
    </row>
    <row r="26" spans="2:11">
      <c r="C26" s="13" t="s">
        <v>42</v>
      </c>
      <c r="D26" s="13"/>
      <c r="E26" s="13"/>
      <c r="F26" s="13"/>
      <c r="G26" s="13"/>
      <c r="H26" s="13"/>
      <c r="I26" s="13"/>
      <c r="J26" s="13"/>
      <c r="K26" s="13"/>
    </row>
    <row r="28" spans="2:11">
      <c r="C28" s="15" t="s">
        <v>43</v>
      </c>
      <c r="D28" s="15"/>
      <c r="E28" s="15"/>
      <c r="F28" s="15"/>
      <c r="G28" s="15"/>
      <c r="H28" s="15"/>
      <c r="I28" s="15"/>
      <c r="J28" s="15"/>
      <c r="K28" s="15"/>
    </row>
    <row r="29" spans="2:11">
      <c r="C29" s="10" t="s">
        <v>26</v>
      </c>
      <c r="D29" s="10" t="s">
        <v>27</v>
      </c>
      <c r="E29" s="10" t="s">
        <v>28</v>
      </c>
      <c r="F29" s="10" t="s">
        <v>29</v>
      </c>
      <c r="G29" s="10" t="s">
        <v>30</v>
      </c>
      <c r="H29" s="10" t="s">
        <v>31</v>
      </c>
      <c r="I29" s="10" t="s">
        <v>32</v>
      </c>
      <c r="J29" s="10" t="s">
        <v>33</v>
      </c>
      <c r="K29" s="10" t="s">
        <v>34</v>
      </c>
    </row>
    <row r="30" spans="2:11" ht="22" customHeight="1">
      <c r="C30" s="11" t="s">
        <v>44</v>
      </c>
      <c r="D30" s="12" t="s">
        <v>45</v>
      </c>
      <c r="E30" s="11"/>
      <c r="F30" s="16" t="s">
        <v>46</v>
      </c>
      <c r="G30" s="11"/>
      <c r="H30" s="11"/>
      <c r="I30" s="16" t="s">
        <v>46</v>
      </c>
      <c r="J30" s="11"/>
      <c r="K30" s="12" t="s">
        <v>5</v>
      </c>
    </row>
    <row r="31" spans="2:11">
      <c r="C31" s="13" t="s">
        <v>47</v>
      </c>
      <c r="D31" s="13"/>
      <c r="E31" s="13"/>
      <c r="F31" s="13"/>
      <c r="G31" s="13"/>
      <c r="H31" s="13"/>
      <c r="I31" s="13"/>
      <c r="J31" s="13"/>
      <c r="K31" s="13"/>
    </row>
    <row r="33" spans="2:11" ht="24" customHeight="1">
      <c r="B33" s="17" t="s">
        <v>48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20" customHeight="1">
      <c r="B34" s="18" t="s">
        <v>49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20" customHeight="1">
      <c r="B35" s="18" t="s">
        <v>50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20" customHeight="1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</row>
    <row r="38" spans="2:11" ht="24" customHeight="1">
      <c r="B38" s="19" t="s">
        <v>52</v>
      </c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30" customHeight="1">
      <c r="B39" s="6" t="s">
        <v>53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32" customHeight="1">
      <c r="B40" s="20" t="s">
        <v>54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2" customHeight="1">
      <c r="B41" s="21" t="s">
        <v>55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32" customHeight="1">
      <c r="B42" s="21" t="s">
        <v>56</v>
      </c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28">
    <mergeCell ref="B1:K1"/>
    <mergeCell ref="B2:K2"/>
    <mergeCell ref="B4:C4"/>
    <mergeCell ref="D4:F4"/>
    <mergeCell ref="G4:K4"/>
    <mergeCell ref="B6:K6"/>
    <mergeCell ref="B7:K7"/>
    <mergeCell ref="B9:K9"/>
    <mergeCell ref="C11:K11"/>
    <mergeCell ref="C12:K12"/>
    <mergeCell ref="C13:K13"/>
    <mergeCell ref="C14:K14"/>
    <mergeCell ref="C15:K15"/>
    <mergeCell ref="C16:K16"/>
    <mergeCell ref="B18:K18"/>
    <mergeCell ref="C22:K22"/>
    <mergeCell ref="C26:K26"/>
    <mergeCell ref="C28:K28"/>
    <mergeCell ref="C31:K31"/>
    <mergeCell ref="B33:K33"/>
    <mergeCell ref="B34:K34"/>
    <mergeCell ref="B35:K35"/>
    <mergeCell ref="B36:K36"/>
    <mergeCell ref="B38:K38"/>
    <mergeCell ref="B39:K39"/>
    <mergeCell ref="B40:K40"/>
    <mergeCell ref="B41:K41"/>
    <mergeCell ref="B42:K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22" t="s">
        <v>57</v>
      </c>
      <c r="B1" s="22" t="s">
        <v>27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63</v>
      </c>
      <c r="I1" s="22" t="s">
        <v>64</v>
      </c>
      <c r="J1" s="22" t="s">
        <v>65</v>
      </c>
      <c r="K1" s="22" t="s">
        <v>66</v>
      </c>
      <c r="L1" s="22" t="s">
        <v>34</v>
      </c>
      <c r="M1" s="22" t="s">
        <v>67</v>
      </c>
    </row>
    <row r="2" spans="1:13" ht="18" customHeight="1">
      <c r="A2" s="23">
        <v>0.3541666666666667</v>
      </c>
      <c r="B2" s="24" t="s">
        <v>68</v>
      </c>
      <c r="C2" s="25">
        <v>123456</v>
      </c>
      <c r="D2" s="24" t="s">
        <v>69</v>
      </c>
      <c r="E2" s="26"/>
      <c r="F2" s="26" t="b">
        <v>1</v>
      </c>
      <c r="G2" s="26"/>
      <c r="H2" s="26" t="b">
        <v>1</v>
      </c>
      <c r="I2" s="26"/>
      <c r="J2" s="26"/>
      <c r="K2" s="24" t="s">
        <v>70</v>
      </c>
      <c r="L2" s="24" t="s">
        <v>2</v>
      </c>
      <c r="M2" s="24" t="s">
        <v>71</v>
      </c>
    </row>
    <row r="3" spans="1:13" ht="18" customHeight="1">
      <c r="A3" s="27">
        <v>0.3958333333333333</v>
      </c>
      <c r="B3" s="28" t="s">
        <v>72</v>
      </c>
      <c r="C3" s="29">
        <v>1</v>
      </c>
      <c r="D3" s="28" t="s">
        <v>59</v>
      </c>
      <c r="E3" s="30"/>
      <c r="F3" s="30" t="b">
        <v>1</v>
      </c>
      <c r="G3" s="30"/>
      <c r="H3" s="30"/>
      <c r="I3" s="30"/>
      <c r="J3" s="30"/>
      <c r="K3" s="28" t="s">
        <v>73</v>
      </c>
      <c r="L3" s="28"/>
      <c r="M3" s="28"/>
    </row>
    <row r="4" spans="1:13" ht="18" customHeight="1">
      <c r="A4" s="27">
        <v>0.3333333333333333</v>
      </c>
      <c r="B4" s="28" t="s">
        <v>74</v>
      </c>
      <c r="C4" s="29">
        <v>2</v>
      </c>
      <c r="D4" s="28" t="s">
        <v>59</v>
      </c>
      <c r="E4" s="30"/>
      <c r="F4" s="30" t="s">
        <v>46</v>
      </c>
      <c r="G4" s="30"/>
      <c r="H4" s="30"/>
      <c r="I4" s="30"/>
      <c r="J4" s="30"/>
      <c r="K4" s="28" t="s">
        <v>75</v>
      </c>
      <c r="L4" s="28"/>
      <c r="M4" s="28"/>
    </row>
    <row r="5" spans="1:13" ht="18" customHeight="1">
      <c r="A5" s="27"/>
      <c r="B5" s="28" t="s">
        <v>76</v>
      </c>
      <c r="C5" s="29">
        <v>3</v>
      </c>
      <c r="D5" s="28" t="s">
        <v>59</v>
      </c>
      <c r="E5" s="30"/>
      <c r="F5" s="30" t="b">
        <v>1</v>
      </c>
      <c r="G5" s="30"/>
      <c r="H5" s="30"/>
      <c r="I5" s="30"/>
      <c r="J5" s="30"/>
      <c r="K5" s="28" t="s">
        <v>77</v>
      </c>
      <c r="L5" s="28"/>
      <c r="M5" s="28"/>
    </row>
    <row r="6" spans="1:13" ht="18" customHeight="1">
      <c r="A6" s="27">
        <v>0.4166666666666667</v>
      </c>
      <c r="B6" s="28" t="s">
        <v>78</v>
      </c>
      <c r="C6" s="29">
        <v>4</v>
      </c>
      <c r="D6" s="28" t="s">
        <v>59</v>
      </c>
      <c r="E6" s="30"/>
      <c r="F6" s="30"/>
      <c r="G6" s="30"/>
      <c r="H6" s="30"/>
      <c r="I6" s="30"/>
      <c r="J6" s="30"/>
      <c r="K6" s="28" t="s">
        <v>79</v>
      </c>
      <c r="L6" s="28"/>
      <c r="M6" s="28"/>
    </row>
    <row r="7" spans="1:13" ht="18" customHeight="1">
      <c r="A7" s="27"/>
      <c r="B7" s="28"/>
      <c r="C7" s="29"/>
      <c r="D7" s="28"/>
      <c r="E7" s="30"/>
      <c r="F7" s="30"/>
      <c r="G7" s="30"/>
      <c r="H7" s="30"/>
      <c r="I7" s="30"/>
      <c r="J7" s="30"/>
      <c r="K7" s="28"/>
      <c r="L7" s="28"/>
      <c r="M7" s="28"/>
    </row>
  </sheetData>
  <conditionalFormatting sqref="F2:J7">
    <cfRule type="expression" dxfId="0" priority="1">
      <formula>$E2=TRUE</formula>
    </cfRule>
  </conditionalFormatting>
  <conditionalFormatting sqref="L2:L7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7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7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"LUNDI"&amp;IF('A SAVOIR'!$D$4="","","   -   "&amp;'A SAVOIR'!$D$4)</f>
        <v>LUNDI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80</v>
      </c>
      <c r="I2" s="22" t="s">
        <v>81</v>
      </c>
      <c r="J2" s="22" t="s">
        <v>82</v>
      </c>
    </row>
    <row r="3" spans="1:10" ht="21" customHeight="1">
      <c r="A3" s="27" t="str">
        <f>IF($J3="","",IF(INDEX(BASECLIENTS!$A:$A,$J3)="","",INDEX(BASECLIENTS!$A:$A,$J3)))</f>
        <v>REMPLACÉE</v>
      </c>
      <c r="B3" s="32" t="str">
        <f>IF($J3="","",IF(INDEX(BASECLIENTS!$C:$C,$J3)="","",INDEX(BASECLIENTS!$C:$C,$J3)))</f>
        <v>REMPLACÉE</v>
      </c>
      <c r="C3" s="9" t="str">
        <f>IF($J3="","",IF(INDEX(BASECLIENTS!$B:$B,$J3)="","",INDEX(BASECLIENTS!$B:$B,$J3)))</f>
        <v>REMPLACÉE</v>
      </c>
      <c r="D3" s="9" t="str">
        <f>IF($J3="","",IF(INDEX(BASECLIENTS!$D:$D,$J3)="","",INDEX(BASECLIENTS!$D:$D,$J3)))</f>
        <v>REMPLACÉE</v>
      </c>
      <c r="E3" s="9" t="str">
        <f>IF($J3="","",IF(INDEX(BASECLIENTS!$K:$K,$J3)="","",INDEX(BASECLIENTS!$K:$K,$J3)))</f>
        <v>REMPLACÉE</v>
      </c>
      <c r="F3" s="9" t="str">
        <f>IF($J3="","",IF(INDEX(BASECLIENTS!$L:$L,$J3)="","",INDEX(BASECLIENTS!$L:$L,$J3)))</f>
        <v>REMPLACÉE</v>
      </c>
      <c r="G3" s="9" t="str">
        <f>IF($J3="","",IF(INDEX(BASECLIENTS!$M:$M,$J3)="","",INDEX(BASECLIENTS!$M:$M,$J3)))</f>
        <v>REMPLACÉE</v>
      </c>
      <c r="I3" t="str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>REMPLACÉE</v>
      </c>
      <c r="J3" t="str">
        <f>IFERROR(MATCH(SMALL($I$3:$I$8,ROW()-2),$I$3:$I$8,0)+1,"")</f>
        <v>REMPLACÉE</v>
      </c>
    </row>
    <row r="4" spans="1:10" ht="21" customHeight="1">
      <c r="A4" s="27" t="str">
        <f>IF($J4="","",IF(INDEX(BASECLIENTS!$A:$A,$J4)="","",INDEX(BASECLIENTS!$A:$A,$J4)))</f>
        <v>REMPLACÉE</v>
      </c>
      <c r="B4" s="32" t="str">
        <f>IF($J4="","",IF(INDEX(BASECLIENTS!$C:$C,$J4)="","",INDEX(BASECLIENTS!$C:$C,$J4)))</f>
        <v>REMPLACÉE</v>
      </c>
      <c r="C4" s="9" t="str">
        <f>IF($J4="","",IF(INDEX(BASECLIENTS!$B:$B,$J4)="","",INDEX(BASECLIENTS!$B:$B,$J4)))</f>
        <v>REMPLACÉE</v>
      </c>
      <c r="D4" s="9" t="str">
        <f>IF($J4="","",IF(INDEX(BASECLIENTS!$D:$D,$J4)="","",INDEX(BASECLIENTS!$D:$D,$J4)))</f>
        <v>REMPLACÉE</v>
      </c>
      <c r="E4" s="9" t="str">
        <f>IF($J4="","",IF(INDEX(BASECLIENTS!$K:$K,$J4)="","",INDEX(BASECLIENTS!$K:$K,$J4)))</f>
        <v>REMPLACÉE</v>
      </c>
      <c r="F4" s="9" t="str">
        <f>IF($J4="","",IF(INDEX(BASECLIENTS!$L:$L,$J4)="","",INDEX(BASECLIENTS!$L:$L,$J4)))</f>
        <v>REMPLACÉE</v>
      </c>
      <c r="G4" s="9" t="str">
        <f>IF($J4="","",IF(INDEX(BASECLIENTS!$M:$M,$J4)="","",INDEX(BASECLIENTS!$M:$M,$J4)))</f>
        <v>REMPLACÉE</v>
      </c>
      <c r="I4" t="str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>REMPLACÉE</v>
      </c>
      <c r="J4" t="str">
        <f>IFERROR(MATCH(SMALL($I$3:$I$8,ROW()-2),$I$3:$I$8,0)+1,"")</f>
        <v>REMPLACÉE</v>
      </c>
    </row>
    <row r="5" spans="1:10" ht="21" customHeight="1">
      <c r="A5" s="27" t="str">
        <f>IF($J5="","",IF(INDEX(BASECLIENTS!$A:$A,$J5)="","",INDEX(BASECLIENTS!$A:$A,$J5)))</f>
        <v>REMPLACÉE</v>
      </c>
      <c r="B5" s="32" t="str">
        <f>IF($J5="","",IF(INDEX(BASECLIENTS!$C:$C,$J5)="","",INDEX(BASECLIENTS!$C:$C,$J5)))</f>
        <v>REMPLACÉE</v>
      </c>
      <c r="C5" s="9" t="str">
        <f>IF($J5="","",IF(INDEX(BASECLIENTS!$B:$B,$J5)="","",INDEX(BASECLIENTS!$B:$B,$J5)))</f>
        <v>REMPLACÉE</v>
      </c>
      <c r="D5" s="9" t="str">
        <f>IF($J5="","",IF(INDEX(BASECLIENTS!$D:$D,$J5)="","",INDEX(BASECLIENTS!$D:$D,$J5)))</f>
        <v>REMPLACÉE</v>
      </c>
      <c r="E5" s="9" t="str">
        <f>IF($J5="","",IF(INDEX(BASECLIENTS!$K:$K,$J5)="","",INDEX(BASECLIENTS!$K:$K,$J5)))</f>
        <v>REMPLACÉE</v>
      </c>
      <c r="F5" s="9" t="str">
        <f>IF($J5="","",IF(INDEX(BASECLIENTS!$L:$L,$J5)="","",INDEX(BASECLIENTS!$L:$L,$J5)))</f>
        <v>REMPLACÉE</v>
      </c>
      <c r="G5" s="9" t="str">
        <f>IF($J5="","",IF(INDEX(BASECLIENTS!$M:$M,$J5)="","",INDEX(BASECLIENTS!$M:$M,$J5)))</f>
        <v>REMPLACÉE</v>
      </c>
      <c r="I5" t="str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>REMPLACÉE</v>
      </c>
      <c r="J5" t="str">
        <f>IFERROR(MATCH(SMALL($I$3:$I$8,ROW()-2),$I$3:$I$8,0)+1,"")</f>
        <v>REMPLACÉE</v>
      </c>
    </row>
    <row r="6" spans="1:10" ht="21" customHeight="1">
      <c r="A6" s="27" t="str">
        <f>IF($J6="","",IF(INDEX(BASECLIENTS!$A:$A,$J6)="","",INDEX(BASECLIENTS!$A:$A,$J6)))</f>
        <v>REMPLACÉE</v>
      </c>
      <c r="B6" s="32" t="str">
        <f>IF($J6="","",IF(INDEX(BASECLIENTS!$C:$C,$J6)="","",INDEX(BASECLIENTS!$C:$C,$J6)))</f>
        <v>REMPLACÉE</v>
      </c>
      <c r="C6" s="9" t="str">
        <f>IF($J6="","",IF(INDEX(BASECLIENTS!$B:$B,$J6)="","",INDEX(BASECLIENTS!$B:$B,$J6)))</f>
        <v>REMPLACÉE</v>
      </c>
      <c r="D6" s="9" t="str">
        <f>IF($J6="","",IF(INDEX(BASECLIENTS!$D:$D,$J6)="","",INDEX(BASECLIENTS!$D:$D,$J6)))</f>
        <v>REMPLACÉE</v>
      </c>
      <c r="E6" s="9" t="str">
        <f>IF($J6="","",IF(INDEX(BASECLIENTS!$K:$K,$J6)="","",INDEX(BASECLIENTS!$K:$K,$J6)))</f>
        <v>REMPLACÉE</v>
      </c>
      <c r="F6" s="9" t="str">
        <f>IF($J6="","",IF(INDEX(BASECLIENTS!$L:$L,$J6)="","",INDEX(BASECLIENTS!$L:$L,$J6)))</f>
        <v>REMPLACÉE</v>
      </c>
      <c r="G6" s="9" t="str">
        <f>IF($J6="","",IF(INDEX(BASECLIENTS!$M:$M,$J6)="","",INDEX(BASECLIENTS!$M:$M,$J6)))</f>
        <v>REMPLACÉE</v>
      </c>
      <c r="I6" t="str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>REMPLACÉE</v>
      </c>
      <c r="J6" t="str">
        <f>IFERROR(MATCH(SMALL($I$3:$I$8,ROW()-2),$I$3:$I$8,0)+1,"")</f>
        <v>REMPLACÉE</v>
      </c>
    </row>
    <row r="7" spans="1:10" ht="21" customHeight="1">
      <c r="A7" s="27" t="str">
        <f>IF($J7="","",IF(INDEX(BASECLIENTS!$A:$A,$J7)="","",INDEX(BASECLIENTS!$A:$A,$J7)))</f>
        <v>REMPLACÉE</v>
      </c>
      <c r="B7" s="32" t="str">
        <f>IF($J7="","",IF(INDEX(BASECLIENTS!$C:$C,$J7)="","",INDEX(BASECLIENTS!$C:$C,$J7)))</f>
        <v>REMPLACÉE</v>
      </c>
      <c r="C7" s="9" t="str">
        <f>IF($J7="","",IF(INDEX(BASECLIENTS!$B:$B,$J7)="","",INDEX(BASECLIENTS!$B:$B,$J7)))</f>
        <v>REMPLACÉE</v>
      </c>
      <c r="D7" s="9" t="str">
        <f>IF($J7="","",IF(INDEX(BASECLIENTS!$D:$D,$J7)="","",INDEX(BASECLIENTS!$D:$D,$J7)))</f>
        <v>REMPLACÉE</v>
      </c>
      <c r="E7" s="9" t="str">
        <f>IF($J7="","",IF(INDEX(BASECLIENTS!$K:$K,$J7)="","",INDEX(BASECLIENTS!$K:$K,$J7)))</f>
        <v>REMPLACÉE</v>
      </c>
      <c r="F7" s="9" t="str">
        <f>IF($J7="","",IF(INDEX(BASECLIENTS!$L:$L,$J7)="","",INDEX(BASECLIENTS!$L:$L,$J7)))</f>
        <v>REMPLACÉE</v>
      </c>
      <c r="G7" s="9" t="str">
        <f>IF($J7="","",IF(INDEX(BASECLIENTS!$M:$M,$J7)="","",INDEX(BASECLIENTS!$M:$M,$J7)))</f>
        <v>REMPLACÉE</v>
      </c>
      <c r="I7" t="str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>REMPLACÉE</v>
      </c>
      <c r="J7" t="str">
        <f>IFERROR(MATCH(SMALL($I$3:$I$8,ROW()-2),$I$3:$I$8,0)+1,"")</f>
        <v>REMPLACÉE</v>
      </c>
    </row>
    <row r="8" spans="1:10" ht="21" customHeight="1">
      <c r="A8" s="27" t="str">
        <f>IF($J8="","",IF(INDEX(BASECLIENTS!$A:$A,$J8)="","",INDEX(BASECLIENTS!$A:$A,$J8)))</f>
        <v>REMPLACÉE</v>
      </c>
      <c r="B8" s="32" t="str">
        <f>IF($J8="","",IF(INDEX(BASECLIENTS!$C:$C,$J8)="","",INDEX(BASECLIENTS!$C:$C,$J8)))</f>
        <v>REMPLACÉE</v>
      </c>
      <c r="C8" s="9" t="str">
        <f>IF($J8="","",IF(INDEX(BASECLIENTS!$B:$B,$J8)="","",INDEX(BASECLIENTS!$B:$B,$J8)))</f>
        <v>REMPLACÉE</v>
      </c>
      <c r="D8" s="9" t="str">
        <f>IF($J8="","",IF(INDEX(BASECLIENTS!$D:$D,$J8)="","",INDEX(BASECLIENTS!$D:$D,$J8)))</f>
        <v>REMPLACÉE</v>
      </c>
      <c r="E8" s="9" t="str">
        <f>IF($J8="","",IF(INDEX(BASECLIENTS!$K:$K,$J8)="","",INDEX(BASECLIENTS!$K:$K,$J8)))</f>
        <v>REMPLACÉE</v>
      </c>
      <c r="F8" s="9" t="str">
        <f>IF($J8="","",IF(INDEX(BASECLIENTS!$L:$L,$J8)="","",INDEX(BASECLIENTS!$L:$L,$J8)))</f>
        <v>REMPLACÉE</v>
      </c>
      <c r="G8" s="9" t="str">
        <f>IF($J8="","",IF(INDEX(BASECLIENTS!$M:$M,$J8)="","",INDEX(BASECLIENTS!$M:$M,$J8)))</f>
        <v>REMPLACÉE</v>
      </c>
      <c r="I8" t="str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>REMPLACÉE</v>
      </c>
      <c r="J8" t="str">
        <f>IFERROR(MATCH(SMALL($I$3:$I$8,ROW()-2),$I$3:$I$8,0)+1,"")</f>
        <v>REMPLACÉE</v>
      </c>
    </row>
  </sheetData>
  <mergeCells count="1">
    <mergeCell ref="A1:H1"/>
  </mergeCells>
  <conditionalFormatting sqref="A3:H8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8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"MARDI"&amp;IF('A SAVOIR'!$D$4="","","   -   "&amp;'A SAVOIR'!$D$4)</f>
        <v>MARDI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80</v>
      </c>
      <c r="I2" s="22" t="s">
        <v>81</v>
      </c>
      <c r="J2" s="22" t="s">
        <v>82</v>
      </c>
    </row>
    <row r="3" spans="1:10" ht="21" customHeight="1">
      <c r="A3" s="27" t="str">
        <f>IF($J3="","",IF(INDEX(BASECLIENTS!$A:$A,$J3)="","",INDEX(BASECLIENTS!$A:$A,$J3)))</f>
        <v>REMPLACÉE</v>
      </c>
      <c r="B3" s="32" t="str">
        <f>IF($J3="","",IF(INDEX(BASECLIENTS!$C:$C,$J3)="","",INDEX(BASECLIENTS!$C:$C,$J3)))</f>
        <v>REMPLACÉE</v>
      </c>
      <c r="C3" s="9" t="str">
        <f>IF($J3="","",IF(INDEX(BASECLIENTS!$B:$B,$J3)="","",INDEX(BASECLIENTS!$B:$B,$J3)))</f>
        <v>REMPLACÉE</v>
      </c>
      <c r="D3" s="9" t="str">
        <f>IF($J3="","",IF(INDEX(BASECLIENTS!$D:$D,$J3)="","",INDEX(BASECLIENTS!$D:$D,$J3)))</f>
        <v>REMPLACÉE</v>
      </c>
      <c r="E3" s="9" t="str">
        <f>IF($J3="","",IF(INDEX(BASECLIENTS!$K:$K,$J3)="","",INDEX(BASECLIENTS!$K:$K,$J3)))</f>
        <v>REMPLACÉE</v>
      </c>
      <c r="F3" s="9" t="str">
        <f>IF($J3="","",IF(INDEX(BASECLIENTS!$L:$L,$J3)="","",INDEX(BASECLIENTS!$L:$L,$J3)))</f>
        <v>REMPLACÉE</v>
      </c>
      <c r="G3" s="9" t="str">
        <f>IF($J3="","",IF(INDEX(BASECLIENTS!$M:$M,$J3)="","",INDEX(BASECLIENTS!$M:$M,$J3)))</f>
        <v>REMPLACÉE</v>
      </c>
      <c r="I3" t="str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>REMPLACÉE</v>
      </c>
      <c r="J3" t="str">
        <f>IFERROR(MATCH(SMALL($I$3:$I$8,ROW()-2),$I$3:$I$8,0)+1,"")</f>
        <v>REMPLACÉE</v>
      </c>
    </row>
    <row r="4" spans="1:10" ht="21" customHeight="1">
      <c r="A4" s="27" t="str">
        <f>IF($J4="","",IF(INDEX(BASECLIENTS!$A:$A,$J4)="","",INDEX(BASECLIENTS!$A:$A,$J4)))</f>
        <v>REMPLACÉE</v>
      </c>
      <c r="B4" s="32" t="str">
        <f>IF($J4="","",IF(INDEX(BASECLIENTS!$C:$C,$J4)="","",INDEX(BASECLIENTS!$C:$C,$J4)))</f>
        <v>REMPLACÉE</v>
      </c>
      <c r="C4" s="9" t="str">
        <f>IF($J4="","",IF(INDEX(BASECLIENTS!$B:$B,$J4)="","",INDEX(BASECLIENTS!$B:$B,$J4)))</f>
        <v>REMPLACÉE</v>
      </c>
      <c r="D4" s="9" t="str">
        <f>IF($J4="","",IF(INDEX(BASECLIENTS!$D:$D,$J4)="","",INDEX(BASECLIENTS!$D:$D,$J4)))</f>
        <v>REMPLACÉE</v>
      </c>
      <c r="E4" s="9" t="str">
        <f>IF($J4="","",IF(INDEX(BASECLIENTS!$K:$K,$J4)="","",INDEX(BASECLIENTS!$K:$K,$J4)))</f>
        <v>REMPLACÉE</v>
      </c>
      <c r="F4" s="9" t="str">
        <f>IF($J4="","",IF(INDEX(BASECLIENTS!$L:$L,$J4)="","",INDEX(BASECLIENTS!$L:$L,$J4)))</f>
        <v>REMPLACÉE</v>
      </c>
      <c r="G4" s="9" t="str">
        <f>IF($J4="","",IF(INDEX(BASECLIENTS!$M:$M,$J4)="","",INDEX(BASECLIENTS!$M:$M,$J4)))</f>
        <v>REMPLACÉE</v>
      </c>
      <c r="I4" t="str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>REMPLACÉE</v>
      </c>
      <c r="J4" t="str">
        <f>IFERROR(MATCH(SMALL($I$3:$I$8,ROW()-2),$I$3:$I$8,0)+1,"")</f>
        <v>REMPLACÉE</v>
      </c>
    </row>
    <row r="5" spans="1:10" ht="21" customHeight="1">
      <c r="A5" s="27" t="str">
        <f>IF($J5="","",IF(INDEX(BASECLIENTS!$A:$A,$J5)="","",INDEX(BASECLIENTS!$A:$A,$J5)))</f>
        <v>REMPLACÉE</v>
      </c>
      <c r="B5" s="32" t="str">
        <f>IF($J5="","",IF(INDEX(BASECLIENTS!$C:$C,$J5)="","",INDEX(BASECLIENTS!$C:$C,$J5)))</f>
        <v>REMPLACÉE</v>
      </c>
      <c r="C5" s="9" t="str">
        <f>IF($J5="","",IF(INDEX(BASECLIENTS!$B:$B,$J5)="","",INDEX(BASECLIENTS!$B:$B,$J5)))</f>
        <v>REMPLACÉE</v>
      </c>
      <c r="D5" s="9" t="str">
        <f>IF($J5="","",IF(INDEX(BASECLIENTS!$D:$D,$J5)="","",INDEX(BASECLIENTS!$D:$D,$J5)))</f>
        <v>REMPLACÉE</v>
      </c>
      <c r="E5" s="9" t="str">
        <f>IF($J5="","",IF(INDEX(BASECLIENTS!$K:$K,$J5)="","",INDEX(BASECLIENTS!$K:$K,$J5)))</f>
        <v>REMPLACÉE</v>
      </c>
      <c r="F5" s="9" t="str">
        <f>IF($J5="","",IF(INDEX(BASECLIENTS!$L:$L,$J5)="","",INDEX(BASECLIENTS!$L:$L,$J5)))</f>
        <v>REMPLACÉE</v>
      </c>
      <c r="G5" s="9" t="str">
        <f>IF($J5="","",IF(INDEX(BASECLIENTS!$M:$M,$J5)="","",INDEX(BASECLIENTS!$M:$M,$J5)))</f>
        <v>REMPLACÉE</v>
      </c>
      <c r="I5" t="str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>REMPLACÉE</v>
      </c>
      <c r="J5" t="str">
        <f>IFERROR(MATCH(SMALL($I$3:$I$8,ROW()-2),$I$3:$I$8,0)+1,"")</f>
        <v>REMPLACÉE</v>
      </c>
    </row>
    <row r="6" spans="1:10" ht="21" customHeight="1">
      <c r="A6" s="27" t="str">
        <f>IF($J6="","",IF(INDEX(BASECLIENTS!$A:$A,$J6)="","",INDEX(BASECLIENTS!$A:$A,$J6)))</f>
        <v>REMPLACÉE</v>
      </c>
      <c r="B6" s="32" t="str">
        <f>IF($J6="","",IF(INDEX(BASECLIENTS!$C:$C,$J6)="","",INDEX(BASECLIENTS!$C:$C,$J6)))</f>
        <v>REMPLACÉE</v>
      </c>
      <c r="C6" s="9" t="str">
        <f>IF($J6="","",IF(INDEX(BASECLIENTS!$B:$B,$J6)="","",INDEX(BASECLIENTS!$B:$B,$J6)))</f>
        <v>REMPLACÉE</v>
      </c>
      <c r="D6" s="9" t="str">
        <f>IF($J6="","",IF(INDEX(BASECLIENTS!$D:$D,$J6)="","",INDEX(BASECLIENTS!$D:$D,$J6)))</f>
        <v>REMPLACÉE</v>
      </c>
      <c r="E6" s="9" t="str">
        <f>IF($J6="","",IF(INDEX(BASECLIENTS!$K:$K,$J6)="","",INDEX(BASECLIENTS!$K:$K,$J6)))</f>
        <v>REMPLACÉE</v>
      </c>
      <c r="F6" s="9" t="str">
        <f>IF($J6="","",IF(INDEX(BASECLIENTS!$L:$L,$J6)="","",INDEX(BASECLIENTS!$L:$L,$J6)))</f>
        <v>REMPLACÉE</v>
      </c>
      <c r="G6" s="9" t="str">
        <f>IF($J6="","",IF(INDEX(BASECLIENTS!$M:$M,$J6)="","",INDEX(BASECLIENTS!$M:$M,$J6)))</f>
        <v>REMPLACÉE</v>
      </c>
      <c r="I6" t="str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>REMPLACÉE</v>
      </c>
      <c r="J6" t="str">
        <f>IFERROR(MATCH(SMALL($I$3:$I$8,ROW()-2),$I$3:$I$8,0)+1,"")</f>
        <v>REMPLACÉE</v>
      </c>
    </row>
    <row r="7" spans="1:10" ht="21" customHeight="1">
      <c r="A7" s="27" t="str">
        <f>IF($J7="","",IF(INDEX(BASECLIENTS!$A:$A,$J7)="","",INDEX(BASECLIENTS!$A:$A,$J7)))</f>
        <v>REMPLACÉE</v>
      </c>
      <c r="B7" s="32" t="str">
        <f>IF($J7="","",IF(INDEX(BASECLIENTS!$C:$C,$J7)="","",INDEX(BASECLIENTS!$C:$C,$J7)))</f>
        <v>REMPLACÉE</v>
      </c>
      <c r="C7" s="9" t="str">
        <f>IF($J7="","",IF(INDEX(BASECLIENTS!$B:$B,$J7)="","",INDEX(BASECLIENTS!$B:$B,$J7)))</f>
        <v>REMPLACÉE</v>
      </c>
      <c r="D7" s="9" t="str">
        <f>IF($J7="","",IF(INDEX(BASECLIENTS!$D:$D,$J7)="","",INDEX(BASECLIENTS!$D:$D,$J7)))</f>
        <v>REMPLACÉE</v>
      </c>
      <c r="E7" s="9" t="str">
        <f>IF($J7="","",IF(INDEX(BASECLIENTS!$K:$K,$J7)="","",INDEX(BASECLIENTS!$K:$K,$J7)))</f>
        <v>REMPLACÉE</v>
      </c>
      <c r="F7" s="9" t="str">
        <f>IF($J7="","",IF(INDEX(BASECLIENTS!$L:$L,$J7)="","",INDEX(BASECLIENTS!$L:$L,$J7)))</f>
        <v>REMPLACÉE</v>
      </c>
      <c r="G7" s="9" t="str">
        <f>IF($J7="","",IF(INDEX(BASECLIENTS!$M:$M,$J7)="","",INDEX(BASECLIENTS!$M:$M,$J7)))</f>
        <v>REMPLACÉE</v>
      </c>
      <c r="I7" t="str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>REMPLACÉE</v>
      </c>
      <c r="J7" t="str">
        <f>IFERROR(MATCH(SMALL($I$3:$I$8,ROW()-2),$I$3:$I$8,0)+1,"")</f>
        <v>REMPLACÉE</v>
      </c>
    </row>
    <row r="8" spans="1:10" ht="21" customHeight="1">
      <c r="A8" s="27" t="str">
        <f>IF($J8="","",IF(INDEX(BASECLIENTS!$A:$A,$J8)="","",INDEX(BASECLIENTS!$A:$A,$J8)))</f>
        <v>REMPLACÉE</v>
      </c>
      <c r="B8" s="32" t="str">
        <f>IF($J8="","",IF(INDEX(BASECLIENTS!$C:$C,$J8)="","",INDEX(BASECLIENTS!$C:$C,$J8)))</f>
        <v>REMPLACÉE</v>
      </c>
      <c r="C8" s="9" t="str">
        <f>IF($J8="","",IF(INDEX(BASECLIENTS!$B:$B,$J8)="","",INDEX(BASECLIENTS!$B:$B,$J8)))</f>
        <v>REMPLACÉE</v>
      </c>
      <c r="D8" s="9" t="str">
        <f>IF($J8="","",IF(INDEX(BASECLIENTS!$D:$D,$J8)="","",INDEX(BASECLIENTS!$D:$D,$J8)))</f>
        <v>REMPLACÉE</v>
      </c>
      <c r="E8" s="9" t="str">
        <f>IF($J8="","",IF(INDEX(BASECLIENTS!$K:$K,$J8)="","",INDEX(BASECLIENTS!$K:$K,$J8)))</f>
        <v>REMPLACÉE</v>
      </c>
      <c r="F8" s="9" t="str">
        <f>IF($J8="","",IF(INDEX(BASECLIENTS!$L:$L,$J8)="","",INDEX(BASECLIENTS!$L:$L,$J8)))</f>
        <v>REMPLACÉE</v>
      </c>
      <c r="G8" s="9" t="str">
        <f>IF($J8="","",IF(INDEX(BASECLIENTS!$M:$M,$J8)="","",INDEX(BASECLIENTS!$M:$M,$J8)))</f>
        <v>REMPLACÉE</v>
      </c>
      <c r="I8" t="str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>REMPLACÉE</v>
      </c>
      <c r="J8" t="str">
        <f>IFERROR(MATCH(SMALL($I$3:$I$8,ROW()-2),$I$3:$I$8,0)+1,"")</f>
        <v>REMPLACÉE</v>
      </c>
    </row>
  </sheetData>
  <mergeCells count="1">
    <mergeCell ref="A1:H1"/>
  </mergeCells>
  <conditionalFormatting sqref="A3:H8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8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"MERCREDI"&amp;IF('A SAVOIR'!$D$4="","","   -   "&amp;'A SAVOIR'!$D$4)</f>
        <v>MERCREDI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80</v>
      </c>
      <c r="I2" s="22" t="s">
        <v>81</v>
      </c>
      <c r="J2" s="22" t="s">
        <v>82</v>
      </c>
    </row>
    <row r="3" spans="1:10" ht="21" customHeight="1">
      <c r="A3" s="27" t="str">
        <f>IF($J3="","",IF(INDEX(BASECLIENTS!$A:$A,$J3)="","",INDEX(BASECLIENTS!$A:$A,$J3)))</f>
        <v>REMPLACÉE</v>
      </c>
      <c r="B3" s="32" t="str">
        <f>IF($J3="","",IF(INDEX(BASECLIENTS!$C:$C,$J3)="","",INDEX(BASECLIENTS!$C:$C,$J3)))</f>
        <v>REMPLACÉE</v>
      </c>
      <c r="C3" s="9" t="str">
        <f>IF($J3="","",IF(INDEX(BASECLIENTS!$B:$B,$J3)="","",INDEX(BASECLIENTS!$B:$B,$J3)))</f>
        <v>REMPLACÉE</v>
      </c>
      <c r="D3" s="9" t="str">
        <f>IF($J3="","",IF(INDEX(BASECLIENTS!$D:$D,$J3)="","",INDEX(BASECLIENTS!$D:$D,$J3)))</f>
        <v>REMPLACÉE</v>
      </c>
      <c r="E3" s="9" t="str">
        <f>IF($J3="","",IF(INDEX(BASECLIENTS!$K:$K,$J3)="","",INDEX(BASECLIENTS!$K:$K,$J3)))</f>
        <v>REMPLACÉE</v>
      </c>
      <c r="F3" s="9" t="str">
        <f>IF($J3="","",IF(INDEX(BASECLIENTS!$L:$L,$J3)="","",INDEX(BASECLIENTS!$L:$L,$J3)))</f>
        <v>REMPLACÉE</v>
      </c>
      <c r="G3" s="9" t="str">
        <f>IF($J3="","",IF(INDEX(BASECLIENTS!$M:$M,$J3)="","",INDEX(BASECLIENTS!$M:$M,$J3)))</f>
        <v>REMPLACÉE</v>
      </c>
      <c r="I3" t="str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>REMPLACÉE</v>
      </c>
      <c r="J3" t="str">
        <f>IFERROR(MATCH(SMALL($I$3:$I$8,ROW()-2),$I$3:$I$8,0)+1,"")</f>
        <v>REMPLACÉE</v>
      </c>
    </row>
    <row r="4" spans="1:10" ht="21" customHeight="1">
      <c r="A4" s="27" t="str">
        <f>IF($J4="","",IF(INDEX(BASECLIENTS!$A:$A,$J4)="","",INDEX(BASECLIENTS!$A:$A,$J4)))</f>
        <v>REMPLACÉE</v>
      </c>
      <c r="B4" s="32" t="str">
        <f>IF($J4="","",IF(INDEX(BASECLIENTS!$C:$C,$J4)="","",INDEX(BASECLIENTS!$C:$C,$J4)))</f>
        <v>REMPLACÉE</v>
      </c>
      <c r="C4" s="9" t="str">
        <f>IF($J4="","",IF(INDEX(BASECLIENTS!$B:$B,$J4)="","",INDEX(BASECLIENTS!$B:$B,$J4)))</f>
        <v>REMPLACÉE</v>
      </c>
      <c r="D4" s="9" t="str">
        <f>IF($J4="","",IF(INDEX(BASECLIENTS!$D:$D,$J4)="","",INDEX(BASECLIENTS!$D:$D,$J4)))</f>
        <v>REMPLACÉE</v>
      </c>
      <c r="E4" s="9" t="str">
        <f>IF($J4="","",IF(INDEX(BASECLIENTS!$K:$K,$J4)="","",INDEX(BASECLIENTS!$K:$K,$J4)))</f>
        <v>REMPLACÉE</v>
      </c>
      <c r="F4" s="9" t="str">
        <f>IF($J4="","",IF(INDEX(BASECLIENTS!$L:$L,$J4)="","",INDEX(BASECLIENTS!$L:$L,$J4)))</f>
        <v>REMPLACÉE</v>
      </c>
      <c r="G4" s="9" t="str">
        <f>IF($J4="","",IF(INDEX(BASECLIENTS!$M:$M,$J4)="","",INDEX(BASECLIENTS!$M:$M,$J4)))</f>
        <v>REMPLACÉE</v>
      </c>
      <c r="I4" t="str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>REMPLACÉE</v>
      </c>
      <c r="J4" t="str">
        <f>IFERROR(MATCH(SMALL($I$3:$I$8,ROW()-2),$I$3:$I$8,0)+1,"")</f>
        <v>REMPLACÉE</v>
      </c>
    </row>
    <row r="5" spans="1:10" ht="21" customHeight="1">
      <c r="A5" s="27" t="str">
        <f>IF($J5="","",IF(INDEX(BASECLIENTS!$A:$A,$J5)="","",INDEX(BASECLIENTS!$A:$A,$J5)))</f>
        <v>REMPLACÉE</v>
      </c>
      <c r="B5" s="32" t="str">
        <f>IF($J5="","",IF(INDEX(BASECLIENTS!$C:$C,$J5)="","",INDEX(BASECLIENTS!$C:$C,$J5)))</f>
        <v>REMPLACÉE</v>
      </c>
      <c r="C5" s="9" t="str">
        <f>IF($J5="","",IF(INDEX(BASECLIENTS!$B:$B,$J5)="","",INDEX(BASECLIENTS!$B:$B,$J5)))</f>
        <v>REMPLACÉE</v>
      </c>
      <c r="D5" s="9" t="str">
        <f>IF($J5="","",IF(INDEX(BASECLIENTS!$D:$D,$J5)="","",INDEX(BASECLIENTS!$D:$D,$J5)))</f>
        <v>REMPLACÉE</v>
      </c>
      <c r="E5" s="9" t="str">
        <f>IF($J5="","",IF(INDEX(BASECLIENTS!$K:$K,$J5)="","",INDEX(BASECLIENTS!$K:$K,$J5)))</f>
        <v>REMPLACÉE</v>
      </c>
      <c r="F5" s="9" t="str">
        <f>IF($J5="","",IF(INDEX(BASECLIENTS!$L:$L,$J5)="","",INDEX(BASECLIENTS!$L:$L,$J5)))</f>
        <v>REMPLACÉE</v>
      </c>
      <c r="G5" s="9" t="str">
        <f>IF($J5="","",IF(INDEX(BASECLIENTS!$M:$M,$J5)="","",INDEX(BASECLIENTS!$M:$M,$J5)))</f>
        <v>REMPLACÉE</v>
      </c>
      <c r="I5" t="str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>REMPLACÉE</v>
      </c>
      <c r="J5" t="str">
        <f>IFERROR(MATCH(SMALL($I$3:$I$8,ROW()-2),$I$3:$I$8,0)+1,"")</f>
        <v>REMPLACÉE</v>
      </c>
    </row>
    <row r="6" spans="1:10" ht="21" customHeight="1">
      <c r="A6" s="27" t="str">
        <f>IF($J6="","",IF(INDEX(BASECLIENTS!$A:$A,$J6)="","",INDEX(BASECLIENTS!$A:$A,$J6)))</f>
        <v>REMPLACÉE</v>
      </c>
      <c r="B6" s="32" t="str">
        <f>IF($J6="","",IF(INDEX(BASECLIENTS!$C:$C,$J6)="","",INDEX(BASECLIENTS!$C:$C,$J6)))</f>
        <v>REMPLACÉE</v>
      </c>
      <c r="C6" s="9" t="str">
        <f>IF($J6="","",IF(INDEX(BASECLIENTS!$B:$B,$J6)="","",INDEX(BASECLIENTS!$B:$B,$J6)))</f>
        <v>REMPLACÉE</v>
      </c>
      <c r="D6" s="9" t="str">
        <f>IF($J6="","",IF(INDEX(BASECLIENTS!$D:$D,$J6)="","",INDEX(BASECLIENTS!$D:$D,$J6)))</f>
        <v>REMPLACÉE</v>
      </c>
      <c r="E6" s="9" t="str">
        <f>IF($J6="","",IF(INDEX(BASECLIENTS!$K:$K,$J6)="","",INDEX(BASECLIENTS!$K:$K,$J6)))</f>
        <v>REMPLACÉE</v>
      </c>
      <c r="F6" s="9" t="str">
        <f>IF($J6="","",IF(INDEX(BASECLIENTS!$L:$L,$J6)="","",INDEX(BASECLIENTS!$L:$L,$J6)))</f>
        <v>REMPLACÉE</v>
      </c>
      <c r="G6" s="9" t="str">
        <f>IF($J6="","",IF(INDEX(BASECLIENTS!$M:$M,$J6)="","",INDEX(BASECLIENTS!$M:$M,$J6)))</f>
        <v>REMPLACÉE</v>
      </c>
      <c r="I6" t="str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>REMPLACÉE</v>
      </c>
      <c r="J6" t="str">
        <f>IFERROR(MATCH(SMALL($I$3:$I$8,ROW()-2),$I$3:$I$8,0)+1,"")</f>
        <v>REMPLACÉE</v>
      </c>
    </row>
    <row r="7" spans="1:10" ht="21" customHeight="1">
      <c r="A7" s="27" t="str">
        <f>IF($J7="","",IF(INDEX(BASECLIENTS!$A:$A,$J7)="","",INDEX(BASECLIENTS!$A:$A,$J7)))</f>
        <v>REMPLACÉE</v>
      </c>
      <c r="B7" s="32" t="str">
        <f>IF($J7="","",IF(INDEX(BASECLIENTS!$C:$C,$J7)="","",INDEX(BASECLIENTS!$C:$C,$J7)))</f>
        <v>REMPLACÉE</v>
      </c>
      <c r="C7" s="9" t="str">
        <f>IF($J7="","",IF(INDEX(BASECLIENTS!$B:$B,$J7)="","",INDEX(BASECLIENTS!$B:$B,$J7)))</f>
        <v>REMPLACÉE</v>
      </c>
      <c r="D7" s="9" t="str">
        <f>IF($J7="","",IF(INDEX(BASECLIENTS!$D:$D,$J7)="","",INDEX(BASECLIENTS!$D:$D,$J7)))</f>
        <v>REMPLACÉE</v>
      </c>
      <c r="E7" s="9" t="str">
        <f>IF($J7="","",IF(INDEX(BASECLIENTS!$K:$K,$J7)="","",INDEX(BASECLIENTS!$K:$K,$J7)))</f>
        <v>REMPLACÉE</v>
      </c>
      <c r="F7" s="9" t="str">
        <f>IF($J7="","",IF(INDEX(BASECLIENTS!$L:$L,$J7)="","",INDEX(BASECLIENTS!$L:$L,$J7)))</f>
        <v>REMPLACÉE</v>
      </c>
      <c r="G7" s="9" t="str">
        <f>IF($J7="","",IF(INDEX(BASECLIENTS!$M:$M,$J7)="","",INDEX(BASECLIENTS!$M:$M,$J7)))</f>
        <v>REMPLACÉE</v>
      </c>
      <c r="I7" t="str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>REMPLACÉE</v>
      </c>
      <c r="J7" t="str">
        <f>IFERROR(MATCH(SMALL($I$3:$I$8,ROW()-2),$I$3:$I$8,0)+1,"")</f>
        <v>REMPLACÉE</v>
      </c>
    </row>
    <row r="8" spans="1:10" ht="21" customHeight="1">
      <c r="A8" s="27" t="str">
        <f>IF($J8="","",IF(INDEX(BASECLIENTS!$A:$A,$J8)="","",INDEX(BASECLIENTS!$A:$A,$J8)))</f>
        <v>REMPLACÉE</v>
      </c>
      <c r="B8" s="32" t="str">
        <f>IF($J8="","",IF(INDEX(BASECLIENTS!$C:$C,$J8)="","",INDEX(BASECLIENTS!$C:$C,$J8)))</f>
        <v>REMPLACÉE</v>
      </c>
      <c r="C8" s="9" t="str">
        <f>IF($J8="","",IF(INDEX(BASECLIENTS!$B:$B,$J8)="","",INDEX(BASECLIENTS!$B:$B,$J8)))</f>
        <v>REMPLACÉE</v>
      </c>
      <c r="D8" s="9" t="str">
        <f>IF($J8="","",IF(INDEX(BASECLIENTS!$D:$D,$J8)="","",INDEX(BASECLIENTS!$D:$D,$J8)))</f>
        <v>REMPLACÉE</v>
      </c>
      <c r="E8" s="9" t="str">
        <f>IF($J8="","",IF(INDEX(BASECLIENTS!$K:$K,$J8)="","",INDEX(BASECLIENTS!$K:$K,$J8)))</f>
        <v>REMPLACÉE</v>
      </c>
      <c r="F8" s="9" t="str">
        <f>IF($J8="","",IF(INDEX(BASECLIENTS!$L:$L,$J8)="","",INDEX(BASECLIENTS!$L:$L,$J8)))</f>
        <v>REMPLACÉE</v>
      </c>
      <c r="G8" s="9" t="str">
        <f>IF($J8="","",IF(INDEX(BASECLIENTS!$M:$M,$J8)="","",INDEX(BASECLIENTS!$M:$M,$J8)))</f>
        <v>REMPLACÉE</v>
      </c>
      <c r="I8" t="str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>REMPLACÉE</v>
      </c>
      <c r="J8" t="str">
        <f>IFERROR(MATCH(SMALL($I$3:$I$8,ROW()-2),$I$3:$I$8,0)+1,"")</f>
        <v>REMPLACÉE</v>
      </c>
    </row>
  </sheetData>
  <mergeCells count="1">
    <mergeCell ref="A1:H1"/>
  </mergeCells>
  <conditionalFormatting sqref="A3:H8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8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"JEUDI"&amp;IF('A SAVOIR'!$D$4="","","   -   "&amp;'A SAVOIR'!$D$4)</f>
        <v>JEUDI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80</v>
      </c>
      <c r="I2" s="22" t="s">
        <v>81</v>
      </c>
      <c r="J2" s="22" t="s">
        <v>82</v>
      </c>
    </row>
    <row r="3" spans="1:10" ht="21" customHeight="1">
      <c r="A3" s="27" t="str">
        <f>IF($J3="","",IF(INDEX(BASECLIENTS!$A:$A,$J3)="","",INDEX(BASECLIENTS!$A:$A,$J3)))</f>
        <v>REMPLACÉE</v>
      </c>
      <c r="B3" s="32" t="str">
        <f>IF($J3="","",IF(INDEX(BASECLIENTS!$C:$C,$J3)="","",INDEX(BASECLIENTS!$C:$C,$J3)))</f>
        <v>REMPLACÉE</v>
      </c>
      <c r="C3" s="9" t="str">
        <f>IF($J3="","",IF(INDEX(BASECLIENTS!$B:$B,$J3)="","",INDEX(BASECLIENTS!$B:$B,$J3)))</f>
        <v>REMPLACÉE</v>
      </c>
      <c r="D3" s="9" t="str">
        <f>IF($J3="","",IF(INDEX(BASECLIENTS!$D:$D,$J3)="","",INDEX(BASECLIENTS!$D:$D,$J3)))</f>
        <v>REMPLACÉE</v>
      </c>
      <c r="E3" s="9" t="str">
        <f>IF($J3="","",IF(INDEX(BASECLIENTS!$K:$K,$J3)="","",INDEX(BASECLIENTS!$K:$K,$J3)))</f>
        <v>REMPLACÉE</v>
      </c>
      <c r="F3" s="9" t="str">
        <f>IF($J3="","",IF(INDEX(BASECLIENTS!$L:$L,$J3)="","",INDEX(BASECLIENTS!$L:$L,$J3)))</f>
        <v>REMPLACÉE</v>
      </c>
      <c r="G3" s="9" t="str">
        <f>IF($J3="","",IF(INDEX(BASECLIENTS!$M:$M,$J3)="","",INDEX(BASECLIENTS!$M:$M,$J3)))</f>
        <v>REMPLACÉE</v>
      </c>
      <c r="I3" t="str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>REMPLACÉE</v>
      </c>
      <c r="J3" t="str">
        <f>IFERROR(MATCH(SMALL($I$3:$I$8,ROW()-2),$I$3:$I$8,0)+1,"")</f>
        <v>REMPLACÉE</v>
      </c>
    </row>
    <row r="4" spans="1:10" ht="21" customHeight="1">
      <c r="A4" s="27" t="str">
        <f>IF($J4="","",IF(INDEX(BASECLIENTS!$A:$A,$J4)="","",INDEX(BASECLIENTS!$A:$A,$J4)))</f>
        <v>REMPLACÉE</v>
      </c>
      <c r="B4" s="32" t="str">
        <f>IF($J4="","",IF(INDEX(BASECLIENTS!$C:$C,$J4)="","",INDEX(BASECLIENTS!$C:$C,$J4)))</f>
        <v>REMPLACÉE</v>
      </c>
      <c r="C4" s="9" t="str">
        <f>IF($J4="","",IF(INDEX(BASECLIENTS!$B:$B,$J4)="","",INDEX(BASECLIENTS!$B:$B,$J4)))</f>
        <v>REMPLACÉE</v>
      </c>
      <c r="D4" s="9" t="str">
        <f>IF($J4="","",IF(INDEX(BASECLIENTS!$D:$D,$J4)="","",INDEX(BASECLIENTS!$D:$D,$J4)))</f>
        <v>REMPLACÉE</v>
      </c>
      <c r="E4" s="9" t="str">
        <f>IF($J4="","",IF(INDEX(BASECLIENTS!$K:$K,$J4)="","",INDEX(BASECLIENTS!$K:$K,$J4)))</f>
        <v>REMPLACÉE</v>
      </c>
      <c r="F4" s="9" t="str">
        <f>IF($J4="","",IF(INDEX(BASECLIENTS!$L:$L,$J4)="","",INDEX(BASECLIENTS!$L:$L,$J4)))</f>
        <v>REMPLACÉE</v>
      </c>
      <c r="G4" s="9" t="str">
        <f>IF($J4="","",IF(INDEX(BASECLIENTS!$M:$M,$J4)="","",INDEX(BASECLIENTS!$M:$M,$J4)))</f>
        <v>REMPLACÉE</v>
      </c>
      <c r="I4" t="str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>REMPLACÉE</v>
      </c>
      <c r="J4" t="str">
        <f>IFERROR(MATCH(SMALL($I$3:$I$8,ROW()-2),$I$3:$I$8,0)+1,"")</f>
        <v>REMPLACÉE</v>
      </c>
    </row>
    <row r="5" spans="1:10" ht="21" customHeight="1">
      <c r="A5" s="27" t="str">
        <f>IF($J5="","",IF(INDEX(BASECLIENTS!$A:$A,$J5)="","",INDEX(BASECLIENTS!$A:$A,$J5)))</f>
        <v>REMPLACÉE</v>
      </c>
      <c r="B5" s="32" t="str">
        <f>IF($J5="","",IF(INDEX(BASECLIENTS!$C:$C,$J5)="","",INDEX(BASECLIENTS!$C:$C,$J5)))</f>
        <v>REMPLACÉE</v>
      </c>
      <c r="C5" s="9" t="str">
        <f>IF($J5="","",IF(INDEX(BASECLIENTS!$B:$B,$J5)="","",INDEX(BASECLIENTS!$B:$B,$J5)))</f>
        <v>REMPLACÉE</v>
      </c>
      <c r="D5" s="9" t="str">
        <f>IF($J5="","",IF(INDEX(BASECLIENTS!$D:$D,$J5)="","",INDEX(BASECLIENTS!$D:$D,$J5)))</f>
        <v>REMPLACÉE</v>
      </c>
      <c r="E5" s="9" t="str">
        <f>IF($J5="","",IF(INDEX(BASECLIENTS!$K:$K,$J5)="","",INDEX(BASECLIENTS!$K:$K,$J5)))</f>
        <v>REMPLACÉE</v>
      </c>
      <c r="F5" s="9" t="str">
        <f>IF($J5="","",IF(INDEX(BASECLIENTS!$L:$L,$J5)="","",INDEX(BASECLIENTS!$L:$L,$J5)))</f>
        <v>REMPLACÉE</v>
      </c>
      <c r="G5" s="9" t="str">
        <f>IF($J5="","",IF(INDEX(BASECLIENTS!$M:$M,$J5)="","",INDEX(BASECLIENTS!$M:$M,$J5)))</f>
        <v>REMPLACÉE</v>
      </c>
      <c r="I5" t="str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>REMPLACÉE</v>
      </c>
      <c r="J5" t="str">
        <f>IFERROR(MATCH(SMALL($I$3:$I$8,ROW()-2),$I$3:$I$8,0)+1,"")</f>
        <v>REMPLACÉE</v>
      </c>
    </row>
    <row r="6" spans="1:10" ht="21" customHeight="1">
      <c r="A6" s="27" t="str">
        <f>IF($J6="","",IF(INDEX(BASECLIENTS!$A:$A,$J6)="","",INDEX(BASECLIENTS!$A:$A,$J6)))</f>
        <v>REMPLACÉE</v>
      </c>
      <c r="B6" s="32" t="str">
        <f>IF($J6="","",IF(INDEX(BASECLIENTS!$C:$C,$J6)="","",INDEX(BASECLIENTS!$C:$C,$J6)))</f>
        <v>REMPLACÉE</v>
      </c>
      <c r="C6" s="9" t="str">
        <f>IF($J6="","",IF(INDEX(BASECLIENTS!$B:$B,$J6)="","",INDEX(BASECLIENTS!$B:$B,$J6)))</f>
        <v>REMPLACÉE</v>
      </c>
      <c r="D6" s="9" t="str">
        <f>IF($J6="","",IF(INDEX(BASECLIENTS!$D:$D,$J6)="","",INDEX(BASECLIENTS!$D:$D,$J6)))</f>
        <v>REMPLACÉE</v>
      </c>
      <c r="E6" s="9" t="str">
        <f>IF($J6="","",IF(INDEX(BASECLIENTS!$K:$K,$J6)="","",INDEX(BASECLIENTS!$K:$K,$J6)))</f>
        <v>REMPLACÉE</v>
      </c>
      <c r="F6" s="9" t="str">
        <f>IF($J6="","",IF(INDEX(BASECLIENTS!$L:$L,$J6)="","",INDEX(BASECLIENTS!$L:$L,$J6)))</f>
        <v>REMPLACÉE</v>
      </c>
      <c r="G6" s="9" t="str">
        <f>IF($J6="","",IF(INDEX(BASECLIENTS!$M:$M,$J6)="","",INDEX(BASECLIENTS!$M:$M,$J6)))</f>
        <v>REMPLACÉE</v>
      </c>
      <c r="I6" t="str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>REMPLACÉE</v>
      </c>
      <c r="J6" t="str">
        <f>IFERROR(MATCH(SMALL($I$3:$I$8,ROW()-2),$I$3:$I$8,0)+1,"")</f>
        <v>REMPLACÉE</v>
      </c>
    </row>
    <row r="7" spans="1:10" ht="21" customHeight="1">
      <c r="A7" s="27" t="str">
        <f>IF($J7="","",IF(INDEX(BASECLIENTS!$A:$A,$J7)="","",INDEX(BASECLIENTS!$A:$A,$J7)))</f>
        <v>REMPLACÉE</v>
      </c>
      <c r="B7" s="32" t="str">
        <f>IF($J7="","",IF(INDEX(BASECLIENTS!$C:$C,$J7)="","",INDEX(BASECLIENTS!$C:$C,$J7)))</f>
        <v>REMPLACÉE</v>
      </c>
      <c r="C7" s="9" t="str">
        <f>IF($J7="","",IF(INDEX(BASECLIENTS!$B:$B,$J7)="","",INDEX(BASECLIENTS!$B:$B,$J7)))</f>
        <v>REMPLACÉE</v>
      </c>
      <c r="D7" s="9" t="str">
        <f>IF($J7="","",IF(INDEX(BASECLIENTS!$D:$D,$J7)="","",INDEX(BASECLIENTS!$D:$D,$J7)))</f>
        <v>REMPLACÉE</v>
      </c>
      <c r="E7" s="9" t="str">
        <f>IF($J7="","",IF(INDEX(BASECLIENTS!$K:$K,$J7)="","",INDEX(BASECLIENTS!$K:$K,$J7)))</f>
        <v>REMPLACÉE</v>
      </c>
      <c r="F7" s="9" t="str">
        <f>IF($J7="","",IF(INDEX(BASECLIENTS!$L:$L,$J7)="","",INDEX(BASECLIENTS!$L:$L,$J7)))</f>
        <v>REMPLACÉE</v>
      </c>
      <c r="G7" s="9" t="str">
        <f>IF($J7="","",IF(INDEX(BASECLIENTS!$M:$M,$J7)="","",INDEX(BASECLIENTS!$M:$M,$J7)))</f>
        <v>REMPLACÉE</v>
      </c>
      <c r="I7" t="str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>REMPLACÉE</v>
      </c>
      <c r="J7" t="str">
        <f>IFERROR(MATCH(SMALL($I$3:$I$8,ROW()-2),$I$3:$I$8,0)+1,"")</f>
        <v>REMPLACÉE</v>
      </c>
    </row>
    <row r="8" spans="1:10" ht="21" customHeight="1">
      <c r="A8" s="27" t="str">
        <f>IF($J8="","",IF(INDEX(BASECLIENTS!$A:$A,$J8)="","",INDEX(BASECLIENTS!$A:$A,$J8)))</f>
        <v>REMPLACÉE</v>
      </c>
      <c r="B8" s="32" t="str">
        <f>IF($J8="","",IF(INDEX(BASECLIENTS!$C:$C,$J8)="","",INDEX(BASECLIENTS!$C:$C,$J8)))</f>
        <v>REMPLACÉE</v>
      </c>
      <c r="C8" s="9" t="str">
        <f>IF($J8="","",IF(INDEX(BASECLIENTS!$B:$B,$J8)="","",INDEX(BASECLIENTS!$B:$B,$J8)))</f>
        <v>REMPLACÉE</v>
      </c>
      <c r="D8" s="9" t="str">
        <f>IF($J8="","",IF(INDEX(BASECLIENTS!$D:$D,$J8)="","",INDEX(BASECLIENTS!$D:$D,$J8)))</f>
        <v>REMPLACÉE</v>
      </c>
      <c r="E8" s="9" t="str">
        <f>IF($J8="","",IF(INDEX(BASECLIENTS!$K:$K,$J8)="","",INDEX(BASECLIENTS!$K:$K,$J8)))</f>
        <v>REMPLACÉE</v>
      </c>
      <c r="F8" s="9" t="str">
        <f>IF($J8="","",IF(INDEX(BASECLIENTS!$L:$L,$J8)="","",INDEX(BASECLIENTS!$L:$L,$J8)))</f>
        <v>REMPLACÉE</v>
      </c>
      <c r="G8" s="9" t="str">
        <f>IF($J8="","",IF(INDEX(BASECLIENTS!$M:$M,$J8)="","",INDEX(BASECLIENTS!$M:$M,$J8)))</f>
        <v>REMPLACÉE</v>
      </c>
      <c r="I8" t="str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>REMPLACÉE</v>
      </c>
      <c r="J8" t="str">
        <f>IFERROR(MATCH(SMALL($I$3:$I$8,ROW()-2),$I$3:$I$8,0)+1,"")</f>
        <v>REMPLACÉE</v>
      </c>
    </row>
  </sheetData>
  <mergeCells count="1">
    <mergeCell ref="A1:H1"/>
  </mergeCells>
  <conditionalFormatting sqref="A3:H8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8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"VENDREDI"&amp;IF('A SAVOIR'!$D$4="","","   -   "&amp;'A SAVOIR'!$D$4)</f>
        <v>VENDREDI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80</v>
      </c>
      <c r="I2" s="22" t="s">
        <v>81</v>
      </c>
      <c r="J2" s="22" t="s">
        <v>82</v>
      </c>
    </row>
    <row r="3" spans="1:10" ht="21" customHeight="1">
      <c r="A3" s="27" t="str">
        <f>IF($J3="","",IF(INDEX(BASECLIENTS!$A:$A,$J3)="","",INDEX(BASECLIENTS!$A:$A,$J3)))</f>
        <v>REMPLACÉE</v>
      </c>
      <c r="B3" s="32" t="str">
        <f>IF($J3="","",IF(INDEX(BASECLIENTS!$C:$C,$J3)="","",INDEX(BASECLIENTS!$C:$C,$J3)))</f>
        <v>REMPLACÉE</v>
      </c>
      <c r="C3" s="9" t="str">
        <f>IF($J3="","",IF(INDEX(BASECLIENTS!$B:$B,$J3)="","",INDEX(BASECLIENTS!$B:$B,$J3)))</f>
        <v>REMPLACÉE</v>
      </c>
      <c r="D3" s="9" t="str">
        <f>IF($J3="","",IF(INDEX(BASECLIENTS!$D:$D,$J3)="","",INDEX(BASECLIENTS!$D:$D,$J3)))</f>
        <v>REMPLACÉE</v>
      </c>
      <c r="E3" s="9" t="str">
        <f>IF($J3="","",IF(INDEX(BASECLIENTS!$K:$K,$J3)="","",INDEX(BASECLIENTS!$K:$K,$J3)))</f>
        <v>REMPLACÉE</v>
      </c>
      <c r="F3" s="9" t="str">
        <f>IF($J3="","",IF(INDEX(BASECLIENTS!$L:$L,$J3)="","",INDEX(BASECLIENTS!$L:$L,$J3)))</f>
        <v>REMPLACÉE</v>
      </c>
      <c r="G3" s="9" t="str">
        <f>IF($J3="","",IF(INDEX(BASECLIENTS!$M:$M,$J3)="","",INDEX(BASECLIENTS!$M:$M,$J3)))</f>
        <v>REMPLACÉE</v>
      </c>
      <c r="I3" t="str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>REMPLACÉE</v>
      </c>
      <c r="J3" t="str">
        <f>IFERROR(MATCH(SMALL($I$3:$I$8,ROW()-2),$I$3:$I$8,0)+1,"")</f>
        <v>REMPLACÉE</v>
      </c>
    </row>
    <row r="4" spans="1:10" ht="21" customHeight="1">
      <c r="A4" s="27" t="str">
        <f>IF($J4="","",IF(INDEX(BASECLIENTS!$A:$A,$J4)="","",INDEX(BASECLIENTS!$A:$A,$J4)))</f>
        <v>REMPLACÉE</v>
      </c>
      <c r="B4" s="32" t="str">
        <f>IF($J4="","",IF(INDEX(BASECLIENTS!$C:$C,$J4)="","",INDEX(BASECLIENTS!$C:$C,$J4)))</f>
        <v>REMPLACÉE</v>
      </c>
      <c r="C4" s="9" t="str">
        <f>IF($J4="","",IF(INDEX(BASECLIENTS!$B:$B,$J4)="","",INDEX(BASECLIENTS!$B:$B,$J4)))</f>
        <v>REMPLACÉE</v>
      </c>
      <c r="D4" s="9" t="str">
        <f>IF($J4="","",IF(INDEX(BASECLIENTS!$D:$D,$J4)="","",INDEX(BASECLIENTS!$D:$D,$J4)))</f>
        <v>REMPLACÉE</v>
      </c>
      <c r="E4" s="9" t="str">
        <f>IF($J4="","",IF(INDEX(BASECLIENTS!$K:$K,$J4)="","",INDEX(BASECLIENTS!$K:$K,$J4)))</f>
        <v>REMPLACÉE</v>
      </c>
      <c r="F4" s="9" t="str">
        <f>IF($J4="","",IF(INDEX(BASECLIENTS!$L:$L,$J4)="","",INDEX(BASECLIENTS!$L:$L,$J4)))</f>
        <v>REMPLACÉE</v>
      </c>
      <c r="G4" s="9" t="str">
        <f>IF($J4="","",IF(INDEX(BASECLIENTS!$M:$M,$J4)="","",INDEX(BASECLIENTS!$M:$M,$J4)))</f>
        <v>REMPLACÉE</v>
      </c>
      <c r="I4" t="str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>REMPLACÉE</v>
      </c>
      <c r="J4" t="str">
        <f>IFERROR(MATCH(SMALL($I$3:$I$8,ROW()-2),$I$3:$I$8,0)+1,"")</f>
        <v>REMPLACÉE</v>
      </c>
    </row>
    <row r="5" spans="1:10" ht="21" customHeight="1">
      <c r="A5" s="27" t="str">
        <f>IF($J5="","",IF(INDEX(BASECLIENTS!$A:$A,$J5)="","",INDEX(BASECLIENTS!$A:$A,$J5)))</f>
        <v>REMPLACÉE</v>
      </c>
      <c r="B5" s="32" t="str">
        <f>IF($J5="","",IF(INDEX(BASECLIENTS!$C:$C,$J5)="","",INDEX(BASECLIENTS!$C:$C,$J5)))</f>
        <v>REMPLACÉE</v>
      </c>
      <c r="C5" s="9" t="str">
        <f>IF($J5="","",IF(INDEX(BASECLIENTS!$B:$B,$J5)="","",INDEX(BASECLIENTS!$B:$B,$J5)))</f>
        <v>REMPLACÉE</v>
      </c>
      <c r="D5" s="9" t="str">
        <f>IF($J5="","",IF(INDEX(BASECLIENTS!$D:$D,$J5)="","",INDEX(BASECLIENTS!$D:$D,$J5)))</f>
        <v>REMPLACÉE</v>
      </c>
      <c r="E5" s="9" t="str">
        <f>IF($J5="","",IF(INDEX(BASECLIENTS!$K:$K,$J5)="","",INDEX(BASECLIENTS!$K:$K,$J5)))</f>
        <v>REMPLACÉE</v>
      </c>
      <c r="F5" s="9" t="str">
        <f>IF($J5="","",IF(INDEX(BASECLIENTS!$L:$L,$J5)="","",INDEX(BASECLIENTS!$L:$L,$J5)))</f>
        <v>REMPLACÉE</v>
      </c>
      <c r="G5" s="9" t="str">
        <f>IF($J5="","",IF(INDEX(BASECLIENTS!$M:$M,$J5)="","",INDEX(BASECLIENTS!$M:$M,$J5)))</f>
        <v>REMPLACÉE</v>
      </c>
      <c r="I5" t="str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>REMPLACÉE</v>
      </c>
      <c r="J5" t="str">
        <f>IFERROR(MATCH(SMALL($I$3:$I$8,ROW()-2),$I$3:$I$8,0)+1,"")</f>
        <v>REMPLACÉE</v>
      </c>
    </row>
    <row r="6" spans="1:10" ht="21" customHeight="1">
      <c r="A6" s="27" t="str">
        <f>IF($J6="","",IF(INDEX(BASECLIENTS!$A:$A,$J6)="","",INDEX(BASECLIENTS!$A:$A,$J6)))</f>
        <v>REMPLACÉE</v>
      </c>
      <c r="B6" s="32" t="str">
        <f>IF($J6="","",IF(INDEX(BASECLIENTS!$C:$C,$J6)="","",INDEX(BASECLIENTS!$C:$C,$J6)))</f>
        <v>REMPLACÉE</v>
      </c>
      <c r="C6" s="9" t="str">
        <f>IF($J6="","",IF(INDEX(BASECLIENTS!$B:$B,$J6)="","",INDEX(BASECLIENTS!$B:$B,$J6)))</f>
        <v>REMPLACÉE</v>
      </c>
      <c r="D6" s="9" t="str">
        <f>IF($J6="","",IF(INDEX(BASECLIENTS!$D:$D,$J6)="","",INDEX(BASECLIENTS!$D:$D,$J6)))</f>
        <v>REMPLACÉE</v>
      </c>
      <c r="E6" s="9" t="str">
        <f>IF($J6="","",IF(INDEX(BASECLIENTS!$K:$K,$J6)="","",INDEX(BASECLIENTS!$K:$K,$J6)))</f>
        <v>REMPLACÉE</v>
      </c>
      <c r="F6" s="9" t="str">
        <f>IF($J6="","",IF(INDEX(BASECLIENTS!$L:$L,$J6)="","",INDEX(BASECLIENTS!$L:$L,$J6)))</f>
        <v>REMPLACÉE</v>
      </c>
      <c r="G6" s="9" t="str">
        <f>IF($J6="","",IF(INDEX(BASECLIENTS!$M:$M,$J6)="","",INDEX(BASECLIENTS!$M:$M,$J6)))</f>
        <v>REMPLACÉE</v>
      </c>
      <c r="I6" t="str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>REMPLACÉE</v>
      </c>
      <c r="J6" t="str">
        <f>IFERROR(MATCH(SMALL($I$3:$I$8,ROW()-2),$I$3:$I$8,0)+1,"")</f>
        <v>REMPLACÉE</v>
      </c>
    </row>
    <row r="7" spans="1:10" ht="21" customHeight="1">
      <c r="A7" s="27" t="str">
        <f>IF($J7="","",IF(INDEX(BASECLIENTS!$A:$A,$J7)="","",INDEX(BASECLIENTS!$A:$A,$J7)))</f>
        <v>REMPLACÉE</v>
      </c>
      <c r="B7" s="32" t="str">
        <f>IF($J7="","",IF(INDEX(BASECLIENTS!$C:$C,$J7)="","",INDEX(BASECLIENTS!$C:$C,$J7)))</f>
        <v>REMPLACÉE</v>
      </c>
      <c r="C7" s="9" t="str">
        <f>IF($J7="","",IF(INDEX(BASECLIENTS!$B:$B,$J7)="","",INDEX(BASECLIENTS!$B:$B,$J7)))</f>
        <v>REMPLACÉE</v>
      </c>
      <c r="D7" s="9" t="str">
        <f>IF($J7="","",IF(INDEX(BASECLIENTS!$D:$D,$J7)="","",INDEX(BASECLIENTS!$D:$D,$J7)))</f>
        <v>REMPLACÉE</v>
      </c>
      <c r="E7" s="9" t="str">
        <f>IF($J7="","",IF(INDEX(BASECLIENTS!$K:$K,$J7)="","",INDEX(BASECLIENTS!$K:$K,$J7)))</f>
        <v>REMPLACÉE</v>
      </c>
      <c r="F7" s="9" t="str">
        <f>IF($J7="","",IF(INDEX(BASECLIENTS!$L:$L,$J7)="","",INDEX(BASECLIENTS!$L:$L,$J7)))</f>
        <v>REMPLACÉE</v>
      </c>
      <c r="G7" s="9" t="str">
        <f>IF($J7="","",IF(INDEX(BASECLIENTS!$M:$M,$J7)="","",INDEX(BASECLIENTS!$M:$M,$J7)))</f>
        <v>REMPLACÉE</v>
      </c>
      <c r="I7" t="str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>REMPLACÉE</v>
      </c>
      <c r="J7" t="str">
        <f>IFERROR(MATCH(SMALL($I$3:$I$8,ROW()-2),$I$3:$I$8,0)+1,"")</f>
        <v>REMPLACÉE</v>
      </c>
    </row>
    <row r="8" spans="1:10" ht="21" customHeight="1">
      <c r="A8" s="27" t="str">
        <f>IF($J8="","",IF(INDEX(BASECLIENTS!$A:$A,$J8)="","",INDEX(BASECLIENTS!$A:$A,$J8)))</f>
        <v>REMPLACÉE</v>
      </c>
      <c r="B8" s="32" t="str">
        <f>IF($J8="","",IF(INDEX(BASECLIENTS!$C:$C,$J8)="","",INDEX(BASECLIENTS!$C:$C,$J8)))</f>
        <v>REMPLACÉE</v>
      </c>
      <c r="C8" s="9" t="str">
        <f>IF($J8="","",IF(INDEX(BASECLIENTS!$B:$B,$J8)="","",INDEX(BASECLIENTS!$B:$B,$J8)))</f>
        <v>REMPLACÉE</v>
      </c>
      <c r="D8" s="9" t="str">
        <f>IF($J8="","",IF(INDEX(BASECLIENTS!$D:$D,$J8)="","",INDEX(BASECLIENTS!$D:$D,$J8)))</f>
        <v>REMPLACÉE</v>
      </c>
      <c r="E8" s="9" t="str">
        <f>IF($J8="","",IF(INDEX(BASECLIENTS!$K:$K,$J8)="","",INDEX(BASECLIENTS!$K:$K,$J8)))</f>
        <v>REMPLACÉE</v>
      </c>
      <c r="F8" s="9" t="str">
        <f>IF($J8="","",IF(INDEX(BASECLIENTS!$L:$L,$J8)="","",INDEX(BASECLIENTS!$L:$L,$J8)))</f>
        <v>REMPLACÉE</v>
      </c>
      <c r="G8" s="9" t="str">
        <f>IF($J8="","",IF(INDEX(BASECLIENTS!$M:$M,$J8)="","",INDEX(BASECLIENTS!$M:$M,$J8)))</f>
        <v>REMPLACÉE</v>
      </c>
      <c r="I8" t="str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>REMPLACÉE</v>
      </c>
      <c r="J8" t="str">
        <f>IFERROR(MATCH(SMALL($I$3:$I$8,ROW()-2),$I$3:$I$8,0)+1,"")</f>
        <v>REMPLACÉE</v>
      </c>
    </row>
  </sheetData>
  <mergeCells count="1">
    <mergeCell ref="A1:H1"/>
  </mergeCells>
  <conditionalFormatting sqref="A3:H8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8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22" t="s">
        <v>0</v>
      </c>
      <c r="B1" s="22" t="s">
        <v>1</v>
      </c>
    </row>
    <row r="2" spans="1:2">
      <c r="A2" s="27">
        <v>0.3333333333333333</v>
      </c>
      <c r="B2" t="s">
        <v>2</v>
      </c>
    </row>
    <row r="3" spans="1:2">
      <c r="A3" s="27">
        <v>0.34375</v>
      </c>
      <c r="B3" t="s">
        <v>3</v>
      </c>
    </row>
    <row r="4" spans="1:2">
      <c r="A4" s="27">
        <v>0.3541666666666667</v>
      </c>
      <c r="B4" t="s">
        <v>4</v>
      </c>
    </row>
    <row r="5" spans="1:2">
      <c r="A5" s="27">
        <v>0.3645833333333333</v>
      </c>
      <c r="B5" t="s">
        <v>5</v>
      </c>
    </row>
    <row r="6" spans="1:2">
      <c r="A6" s="27">
        <v>0.375</v>
      </c>
      <c r="B6" t="s">
        <v>6</v>
      </c>
    </row>
    <row r="7" spans="1:2">
      <c r="A7" s="27">
        <v>0.3854166666666667</v>
      </c>
      <c r="B7" t="s">
        <v>7</v>
      </c>
    </row>
    <row r="8" spans="1:2">
      <c r="A8" s="27">
        <v>0.3958333333333333</v>
      </c>
      <c r="B8" t="s">
        <v>8</v>
      </c>
    </row>
    <row r="9" spans="1:2">
      <c r="A9" s="27">
        <v>0.40625</v>
      </c>
      <c r="B9" t="s">
        <v>9</v>
      </c>
    </row>
    <row r="10" spans="1:2">
      <c r="A10" s="27">
        <v>0.4166666666666667</v>
      </c>
      <c r="B10" t="s">
        <v>10</v>
      </c>
    </row>
    <row r="11" spans="1:2">
      <c r="A11" s="27">
        <v>0.4270833333333333</v>
      </c>
    </row>
    <row r="12" spans="1:2">
      <c r="A12" s="27">
        <v>0.4375</v>
      </c>
    </row>
    <row r="13" spans="1:2">
      <c r="A13" s="27">
        <v>0.4479166666666667</v>
      </c>
    </row>
    <row r="14" spans="1:2">
      <c r="A14" s="27">
        <v>0.4583333333333333</v>
      </c>
    </row>
    <row r="15" spans="1:2">
      <c r="A15" s="27">
        <v>0.46875</v>
      </c>
    </row>
    <row r="16" spans="1:2">
      <c r="A16" s="27">
        <v>0.4791666666666667</v>
      </c>
    </row>
    <row r="17" spans="1:1">
      <c r="A17" s="27">
        <v>0.4895833333333333</v>
      </c>
    </row>
    <row r="18" spans="1:1">
      <c r="A18" s="27">
        <v>0.5</v>
      </c>
    </row>
    <row r="19" spans="1:1">
      <c r="A19" s="27">
        <v>0.5104166666666666</v>
      </c>
    </row>
    <row r="20" spans="1:1">
      <c r="A20" s="27">
        <v>0.5208333333333334</v>
      </c>
    </row>
    <row r="21" spans="1:1">
      <c r="A21" s="27">
        <v>0.53125</v>
      </c>
    </row>
    <row r="22" spans="1:1">
      <c r="A22" s="27">
        <v>0.5416666666666666</v>
      </c>
    </row>
    <row r="23" spans="1:1">
      <c r="A23" s="27">
        <v>0.5520833333333334</v>
      </c>
    </row>
    <row r="24" spans="1:1">
      <c r="A24" s="27">
        <v>0.5625</v>
      </c>
    </row>
    <row r="25" spans="1:1">
      <c r="A25" s="27">
        <v>0.5729166666666666</v>
      </c>
    </row>
    <row r="26" spans="1:1">
      <c r="A26" s="27">
        <v>0.5833333333333334</v>
      </c>
    </row>
    <row r="27" spans="1:1">
      <c r="A27" s="27">
        <v>0.59375</v>
      </c>
    </row>
    <row r="28" spans="1:1">
      <c r="A28" s="27">
        <v>0.6041666666666666</v>
      </c>
    </row>
    <row r="29" spans="1:1">
      <c r="A29" s="27">
        <v>0.6145833333333334</v>
      </c>
    </row>
    <row r="30" spans="1:1">
      <c r="A30" s="27">
        <v>0.625</v>
      </c>
    </row>
    <row r="31" spans="1:1">
      <c r="A31" s="27">
        <v>0.6354166666666666</v>
      </c>
    </row>
    <row r="32" spans="1:1">
      <c r="A32" s="27">
        <v>0.6458333333333334</v>
      </c>
    </row>
    <row r="33" spans="1:1">
      <c r="A33" s="27">
        <v>0.65625</v>
      </c>
    </row>
    <row r="34" spans="1:1">
      <c r="A34" s="27">
        <v>0.6666666666666666</v>
      </c>
    </row>
    <row r="35" spans="1:1">
      <c r="A35" s="27">
        <v>0.6770833333333334</v>
      </c>
    </row>
    <row r="36" spans="1:1">
      <c r="A36" s="27">
        <v>0.6875</v>
      </c>
    </row>
    <row r="37" spans="1:1">
      <c r="A37" s="27">
        <v>0.6979166666666666</v>
      </c>
    </row>
    <row r="38" spans="1:1">
      <c r="A38" s="27">
        <v>0.7083333333333334</v>
      </c>
    </row>
    <row r="39" spans="1:1">
      <c r="A39" s="27">
        <v>0.71875</v>
      </c>
    </row>
    <row r="40" spans="1:1">
      <c r="A40" s="27">
        <v>0.7291666666666666</v>
      </c>
    </row>
    <row r="41" spans="1:1">
      <c r="A41" s="27">
        <v>0.7395833333333334</v>
      </c>
    </row>
    <row r="42" spans="1:1">
      <c r="A42" s="27">
        <v>0.75</v>
      </c>
    </row>
    <row r="43" spans="1:1">
      <c r="A43" s="27">
        <v>0.7604166666666666</v>
      </c>
    </row>
    <row r="44" spans="1:1">
      <c r="A44" s="27">
        <v>0.7708333333333334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46.7109375" customWidth="1"/>
    <col min="2" max="2" width="18.7109375" customWidth="1"/>
    <col min="5" max="5" width="8.7109375" hidden="1" customWidth="1"/>
  </cols>
  <sheetData>
    <row r="1" spans="1:5">
      <c r="A1" s="33" t="s">
        <v>83</v>
      </c>
      <c r="B1" s="33"/>
    </row>
    <row r="2" spans="1:5">
      <c r="A2" s="34" t="s">
        <v>84</v>
      </c>
      <c r="B2" s="34" t="s">
        <v>85</v>
      </c>
    </row>
    <row r="3" spans="1:5" ht="24" customHeight="1">
      <c r="A3" s="35" t="s">
        <v>86</v>
      </c>
      <c r="B3" s="36" t="str">
        <f>IF(ROW()=3,"OK","FAUX")</f>
        <v>REMPLACÉE</v>
      </c>
      <c r="E3" t="str">
        <f>IF(1=1,"",0)</f>
        <v>REMPLACÉE</v>
      </c>
    </row>
    <row r="4" spans="1:5" ht="24" customHeight="1">
      <c r="A4" s="35" t="s">
        <v>87</v>
      </c>
      <c r="B4" s="36" t="str">
        <f>IF(INDEX(BASECLIENTS!$B:$B,3)="CLIENT A","OK","FAUX")</f>
        <v>REMPLACÉE</v>
      </c>
      <c r="E4">
        <v>0.5</v>
      </c>
    </row>
    <row r="5" spans="1:5" ht="24" customHeight="1">
      <c r="A5" s="35" t="s">
        <v>88</v>
      </c>
      <c r="B5" s="36" t="str">
        <f>IF(INDEX(BASECLIENTS!$B:$B,ROW()-5+3)="CLIENT A","OK","FAUX")</f>
        <v>REMPLACÉE</v>
      </c>
      <c r="E5">
        <v>0.2</v>
      </c>
    </row>
    <row r="6" spans="1:5" ht="24" customHeight="1">
      <c r="A6" s="35" t="s">
        <v>89</v>
      </c>
      <c r="B6" s="36" t="str">
        <f>IF(ABS(IF(ISNUMBER(BASECLIENTS!$A$3),MOD(BASECLIENTS!$A$3,1),IFERROR(TIMEVALUE(BASECLIENTS!$A$3),1))-9.5/24)&lt;0.0001,"OK","FAUX")</f>
        <v>REMPLACÉE</v>
      </c>
    </row>
    <row r="7" spans="1:5" ht="24" customHeight="1">
      <c r="A7" s="35" t="s">
        <v>90</v>
      </c>
      <c r="B7" s="36" t="str">
        <f>IF(IF(ISNUMBER(BASECLIENTS!$A$5),MOD(BASECLIENTS!$A$5,1),IFERROR(TIMEVALUE(BASECLIENTS!$A$5),1))=1,"OK","FAUX")</f>
        <v>REMPLACÉE</v>
      </c>
    </row>
    <row r="8" spans="1:5" ht="24" customHeight="1">
      <c r="A8" s="35" t="s">
        <v>91</v>
      </c>
      <c r="B8" s="36" t="str">
        <f>IF(OR(BASECLIENTS!$F$3=TRUE,BASECLIENTS!$F$3="X"),"OK","FAUX")</f>
        <v>REMPLACÉE</v>
      </c>
    </row>
    <row r="9" spans="1:5" ht="24" customHeight="1">
      <c r="A9" s="35" t="s">
        <v>92</v>
      </c>
      <c r="B9" s="36" t="str">
        <f>IF(OR(BASECLIENTS!$F$4=TRUE,BASECLIENTS!$F$4="X"),"OK","FAUX")</f>
        <v>REMPLACÉE</v>
      </c>
    </row>
    <row r="10" spans="1:5" ht="24" customHeight="1">
      <c r="A10" s="35" t="s">
        <v>93</v>
      </c>
      <c r="B10" s="36" t="str">
        <f>IF(LEFT(BASECLIENTS!$B$2,7)="EXEMPLE","OK","FAUX")</f>
        <v>REMPLACÉE</v>
      </c>
    </row>
    <row r="11" spans="1:5" ht="24" customHeight="1">
      <c r="A11" s="35" t="s">
        <v>94</v>
      </c>
      <c r="B11" s="36" t="str">
        <f>IF(SMALL($E$3:$E$5,1)=0.2,"OK","FAUX")</f>
        <v>REMPLACÉE</v>
      </c>
    </row>
    <row r="12" spans="1:5" ht="24" customHeight="1">
      <c r="A12" s="35" t="s">
        <v>95</v>
      </c>
      <c r="B12" s="36" t="str">
        <f>IF(MATCH(0.5,$E$3:$E$5,0)=2,"OK","FAUX")</f>
        <v>REMPLACÉE</v>
      </c>
    </row>
    <row r="13" spans="1:5" ht="24" customHeight="1">
      <c r="A13" s="35" t="s">
        <v>96</v>
      </c>
      <c r="B13" s="36" t="str">
        <f>IF(LUNDI!$A$1="LUNDI   -   Test iPad","OK","FAUX")</f>
        <v>REMPLACÉE</v>
      </c>
    </row>
    <row r="14" spans="1:5" ht="24" customHeight="1">
      <c r="A14" s="35" t="s">
        <v>97</v>
      </c>
      <c r="B14" s="36" t="str">
        <f>IF(LUNDI!$C$3="CLIENT B","OK","FAUX")</f>
        <v>REMPLACÉE</v>
      </c>
    </row>
    <row r="15" spans="1:5" ht="24" customHeight="1">
      <c r="A15" s="35" t="s">
        <v>98</v>
      </c>
      <c r="B15" s="36" t="str">
        <f>IF(LUNDI!$C$4="CLIENT A","OK","FAUX")</f>
        <v>REMPLACÉE</v>
      </c>
    </row>
    <row r="16" spans="1:5" ht="24" customHeight="1">
      <c r="A16" s="35" t="s">
        <v>99</v>
      </c>
      <c r="B16" s="36" t="str">
        <f>IF(LUNDI!$C$5="CLIENT C","OK","FAUX")</f>
        <v>REMPLACÉE</v>
      </c>
    </row>
    <row r="17" spans="1:2" ht="24" customHeight="1">
      <c r="A17" s="35" t="s">
        <v>100</v>
      </c>
      <c r="B17" s="36" t="str">
        <f>IF(LUNDI!$C$6="","OK","FAUX")</f>
        <v>REMPLACÉE</v>
      </c>
    </row>
    <row r="19" spans="1:2" ht="30" customHeight="1">
      <c r="A19" s="37" t="s">
        <v>101</v>
      </c>
      <c r="B19" s="38" t="str">
        <f>IF(COUNTIF(B3:B17,"OK")=15,"TOUT OK","PROBLÈME")</f>
        <v>REMPLACÉE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TESTS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2026-10-16T14:47:57Z</dcterms:created>
  <dcterms:modified xsi:type="dcterms:W3CDTF">2026-10-16T14:47:57Z</dcterms:modified>
</cp:coreProperties>
</file>