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ASP.LOCAL\miko$\alpagel\REDIRECTION\mal_e_tlv3\Bureau\POUR ALAIN\"/>
    </mc:Choice>
  </mc:AlternateContent>
  <xr:revisionPtr revIDLastSave="0" documentId="13_ncr:1_{CB8B6587-F5AA-4263-899C-2B5209BCA6F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 SAVOIR" sheetId="1" r:id="rId1"/>
    <sheet name="BASECLIENTS" sheetId="2" r:id="rId2"/>
    <sheet name="LUNDI" sheetId="3" r:id="rId3"/>
    <sheet name="MARDI" sheetId="4" r:id="rId4"/>
    <sheet name="MERCREDI" sheetId="5" r:id="rId5"/>
    <sheet name="JEUDI" sheetId="6" r:id="rId6"/>
    <sheet name="VENDREDI" sheetId="7" r:id="rId7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 a="1"/>
  <c r="C2" i="7"/>
  <c r="F2" i="7" a="1"/>
  <c r="F2" i="7"/>
  <c r="E2" i="7" a="1"/>
  <c r="E2" i="7"/>
  <c r="D2" i="7" a="1"/>
  <c r="D2" i="7"/>
  <c r="B2" i="7" a="1"/>
  <c r="B2" i="7"/>
  <c r="A2" i="7" a="1"/>
  <c r="A2" i="7"/>
  <c r="A2" i="6" a="1"/>
  <c r="A2" i="6"/>
  <c r="A2" i="3" a="1"/>
  <c r="A2" i="3"/>
  <c r="B2" i="6" a="1"/>
  <c r="B2" i="6"/>
  <c r="C2" i="6" a="1"/>
  <c r="C2" i="6"/>
  <c r="D2" i="6" a="1"/>
  <c r="D2" i="6"/>
  <c r="E2" i="6" a="1"/>
  <c r="E2" i="6"/>
  <c r="F2" i="6" a="1"/>
  <c r="F2" i="6"/>
  <c r="F2" i="5" a="1"/>
  <c r="F2" i="5"/>
  <c r="E2" i="5" a="1"/>
  <c r="E2" i="5"/>
  <c r="D2" i="5" a="1"/>
  <c r="D2" i="5"/>
  <c r="C2" i="5" a="1"/>
  <c r="C2" i="5"/>
  <c r="B2" i="5" a="1"/>
  <c r="B2" i="5"/>
  <c r="A2" i="5" a="1"/>
  <c r="A2" i="5"/>
  <c r="F2" i="4" a="1"/>
  <c r="F2" i="4"/>
  <c r="E2" i="4" a="1"/>
  <c r="E2" i="4"/>
  <c r="D2" i="4" a="1"/>
  <c r="D2" i="4"/>
  <c r="B2" i="4" a="1"/>
  <c r="B2" i="4"/>
  <c r="C2" i="4" a="1"/>
  <c r="C2" i="4"/>
  <c r="A2" i="4" a="1"/>
  <c r="A2" i="4"/>
  <c r="F2" i="3" a="1"/>
  <c r="F2" i="3"/>
  <c r="E2" i="3" a="1"/>
  <c r="E2" i="3"/>
  <c r="D2" i="3" a="1"/>
  <c r="D2" i="3"/>
  <c r="B2" i="3" a="1"/>
  <c r="B2" i="3"/>
  <c r="C2" i="3" a="1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<sst xmlns="http://schemas.openxmlformats.org/spreadsheetml/2006/main" count="605" uniqueCount="465">
  <si>
    <t>HEURE D APPELS</t>
  </si>
  <si>
    <t>NOM CLIENTS</t>
  </si>
  <si>
    <t>CODE CLIENTS</t>
  </si>
  <si>
    <t>VILLE</t>
  </si>
  <si>
    <t>LUNDI</t>
  </si>
  <si>
    <t>MARDI</t>
  </si>
  <si>
    <t>MERCREDI</t>
  </si>
  <si>
    <t>JEUDI</t>
  </si>
  <si>
    <t>VENDREDI</t>
  </si>
  <si>
    <t>Numéro de téléphone</t>
  </si>
  <si>
    <t>COMMENTAIRE</t>
  </si>
  <si>
    <t>À SAVOIR</t>
  </si>
  <si>
    <t>Ce fichier permet de gérer automatiquement les listes d'appels de la semaine.</t>
  </si>
  <si>
    <t>Tous les clients doivent être ajoutés, modifiés ou supprimés uniquement dans la feuille "BASE CLIENTS". Les feuilles LUNDI, MARDI, MERCREDI, JEUDI et VENDREDI se mettent à jour automatiquement en fonction des jours d'appel sélectionnés.</t>
  </si>
  <si>
    <t>Ajouter un client</t>
  </si>
  <si>
    <t xml:space="preserve">Ajoutez une nouvelle ligne dans la feuille BASE CLIENTS puis complétez les informations du client (heure d'appels, nom, code client, ville et numéro de téléphone). </t>
  </si>
  <si>
    <t>Sélectionnez ensuite Oui ou Non pour chaque jour de la semaine selon les jours où le client doit être appelé.</t>
  </si>
  <si>
    <t>Modifier un client</t>
  </si>
  <si>
    <t>Toutes les modifications doivent être réalisées dans la feuille BASE CLIENTS. Les changements seront automatiquement visibles dans les feuilles des jours concernés.</t>
  </si>
  <si>
    <t>Supprimer un client</t>
  </si>
  <si>
    <t>Supprimez simplement la ligne du client dans BASE CLIENTS. Il disparaîtra automatiquement de toutes les feuilles.</t>
  </si>
  <si>
    <t>Important</t>
  </si>
  <si>
    <t>Ne modifiez jamais les formules.</t>
  </si>
  <si>
    <t>Ne supprimez pas ou ne déplacez pas les colonnes.</t>
  </si>
  <si>
    <t>N'ajoutez jamais de clients directement dans les feuilles LUNDI à VENDREDI.</t>
  </si>
  <si>
    <t>N'effectuez aucun tri ou filtre sur les feuilles des jours.</t>
  </si>
  <si>
    <t>Toutes les modifications doivent être effectuées dans BASE CLIENTS.</t>
  </si>
  <si>
    <t>Fonctionnement</t>
  </si>
  <si>
    <t>Les feuilles LUNDI, MARDI, MERCREDI, JEUDI et VENDREDI sont générées automatiquement. Les clients y sont classés par heure d'appels afin de faciliter le suivi quotidien.</t>
  </si>
  <si>
    <t>En cas de doute, utilisez toujours la feuille BASE CLIENTS pour gérer les informations des clients.</t>
  </si>
  <si>
    <t>RESTAURANT LES DAUPHINS</t>
  </si>
  <si>
    <t>CHARAVINES</t>
  </si>
  <si>
    <t>LE CAFE DE LA PLACE</t>
  </si>
  <si>
    <t>LE SAPPEY EN CHARTREUSE</t>
  </si>
  <si>
    <t>LE PIANO DU LAC</t>
  </si>
  <si>
    <t>LAFFREY</t>
  </si>
  <si>
    <t>LES VOILES</t>
  </si>
  <si>
    <t>HOTEL RESTAURANT DES BAINS</t>
  </si>
  <si>
    <t>LE GRILLON</t>
  </si>
  <si>
    <t>SAINT ETIENNE DE ST GEOIRS</t>
  </si>
  <si>
    <t>AU PRE DU LAC</t>
  </si>
  <si>
    <t>SAINT-THEOFFREY</t>
  </si>
  <si>
    <t>LES 3 SOMMETS</t>
  </si>
  <si>
    <t>SARCENAS</t>
  </si>
  <si>
    <t>SOS PIZZAS</t>
  </si>
  <si>
    <t>LES MELEZES</t>
  </si>
  <si>
    <t>DOUCEURS D AUTREFOIS</t>
  </si>
  <si>
    <t>FARAMANS</t>
  </si>
  <si>
    <t>LE MELEZEIN</t>
  </si>
  <si>
    <t>LA MURE</t>
  </si>
  <si>
    <t>ALBA RISTORANTE</t>
  </si>
  <si>
    <t>COLOMBE</t>
  </si>
  <si>
    <t>LE MIRADOU</t>
  </si>
  <si>
    <t>SAINT THEOFFREY</t>
  </si>
  <si>
    <t>CLUB NAUTIQUE DE CHOLONGE</t>
  </si>
  <si>
    <t>CHOLLONGES</t>
  </si>
  <si>
    <t>EDEIS TRAIN DE LA MURE</t>
  </si>
  <si>
    <t>RELAIS DE LA TOURELLE</t>
  </si>
  <si>
    <t>PALADRU</t>
  </si>
  <si>
    <t>MOTTE VIANDES</t>
  </si>
  <si>
    <t>L'ENVOL AU VENT</t>
  </si>
  <si>
    <t>LE PIN</t>
  </si>
  <si>
    <t>JOSE PIZZ</t>
  </si>
  <si>
    <t>TULLINS</t>
  </si>
  <si>
    <t>LE PLATEAU DES SAVEUR</t>
  </si>
  <si>
    <t>BEAUREPAIRE</t>
  </si>
  <si>
    <t>KOUNTRY CORNER</t>
  </si>
  <si>
    <t>VINAY</t>
  </si>
  <si>
    <t>LE BAHIA</t>
  </si>
  <si>
    <t>RESTAURANT L EDEN</t>
  </si>
  <si>
    <t>LA COTE ST ANDRE</t>
  </si>
  <si>
    <t>CAMPING LES CORDELIERS</t>
  </si>
  <si>
    <t>PIERRE CHATEL</t>
  </si>
  <si>
    <t>BRASSERIE MATHEYSINE</t>
  </si>
  <si>
    <t>NANTES EN RATIER</t>
  </si>
  <si>
    <t>LE ROSSLI</t>
  </si>
  <si>
    <t>LE GRAND LAC</t>
  </si>
  <si>
    <t>LA PLAGE CHARAVINES</t>
  </si>
  <si>
    <t>VALENTIN REMI TRAITEUR</t>
  </si>
  <si>
    <t>SAINT SIMEON DE BRESSIEUX</t>
  </si>
  <si>
    <t>RESTAURANT BEAU RIVAGE</t>
  </si>
  <si>
    <t>AUBERGE CHEZ JO ET MARCO</t>
  </si>
  <si>
    <t>LE CHALET DU CIRQUE</t>
  </si>
  <si>
    <t>ST PIERRE D ENTREMONT</t>
  </si>
  <si>
    <t>MATHIGAB</t>
  </si>
  <si>
    <t xml:space="preserve"> LA MURE</t>
  </si>
  <si>
    <t>MATACENA PADEL</t>
  </si>
  <si>
    <t>SUSVILLE</t>
  </si>
  <si>
    <t>LA SCIA</t>
  </si>
  <si>
    <t>SAINT PIERRE DE CHARTREUSE</t>
  </si>
  <si>
    <t>CHEZ LYCH</t>
  </si>
  <si>
    <t>AUBERGE DES CHAMBARAN</t>
  </si>
  <si>
    <t>CHASSELAY</t>
  </si>
  <si>
    <t>LE BEAU SITE</t>
  </si>
  <si>
    <t>ST PIERRE DE CHARTREUSE</t>
  </si>
  <si>
    <t>LA ROSELIERE</t>
  </si>
  <si>
    <t>L'ANNEXE</t>
  </si>
  <si>
    <t>MONTFERRAT</t>
  </si>
  <si>
    <t>LE COLISEE</t>
  </si>
  <si>
    <t>SALVANAT PIZZ</t>
  </si>
  <si>
    <t>RENAGE</t>
  </si>
  <si>
    <t>BACHOP S BAR</t>
  </si>
  <si>
    <t>COGNIN LES GORGES</t>
  </si>
  <si>
    <t>LE MAELLOU</t>
  </si>
  <si>
    <t>PAJAY</t>
  </si>
  <si>
    <t>SNACKOS</t>
  </si>
  <si>
    <t>CAMPING DE MARTINIERE</t>
  </si>
  <si>
    <t>LE BRENNUS</t>
  </si>
  <si>
    <t>MOIRANS</t>
  </si>
  <si>
    <t>ENTREMONTS VIANDES</t>
  </si>
  <si>
    <t>SAINT PIERRE D'ENTREMONT</t>
  </si>
  <si>
    <t>OREADE RESTAURANT</t>
  </si>
  <si>
    <t>L  ADYLOU</t>
  </si>
  <si>
    <t>INDIAN FOREST CHARTREUSE</t>
  </si>
  <si>
    <t>LA PECHE A LA TRUITE</t>
  </si>
  <si>
    <t>L  ATELIER</t>
  </si>
  <si>
    <t>BREZINS</t>
  </si>
  <si>
    <t>LE RELAIS DE LA BLACHE</t>
  </si>
  <si>
    <t>COMMELLE</t>
  </si>
  <si>
    <t>LA HAUT</t>
  </si>
  <si>
    <t>ENTREMONT LE VIEUX</t>
  </si>
  <si>
    <t>NINOU PIZZA</t>
  </si>
  <si>
    <t>TRAITEUR DE SAVEURS</t>
  </si>
  <si>
    <t>SAINT JEAN DE MOIRANS</t>
  </si>
  <si>
    <t>AUBERGE NAPOLEON</t>
  </si>
  <si>
    <t>LES SKIEURS</t>
  </si>
  <si>
    <t>LA VOILE</t>
  </si>
  <si>
    <t>LE CHARLY'S</t>
  </si>
  <si>
    <t>HOTEL LE MURTEL</t>
  </si>
  <si>
    <t>CAMPING SER SIRANT</t>
  </si>
  <si>
    <t>CENTRE AROEVEN</t>
  </si>
  <si>
    <t>PISCINE DE LA MOTTE ST MARTIN</t>
  </si>
  <si>
    <t>LA MOTTE ST MARTIN</t>
  </si>
  <si>
    <t>MEILLAT PATISSERIE</t>
  </si>
  <si>
    <t>LA COTE SAINT ANDRE</t>
  </si>
  <si>
    <t>LE COMPTOIR DU LAC</t>
  </si>
  <si>
    <t>CAMAS</t>
  </si>
  <si>
    <t>LA MOTTE D AVEILLANS</t>
  </si>
  <si>
    <t>SNACK DE LA PISCINE</t>
  </si>
  <si>
    <t>LA TABLE DMG</t>
  </si>
  <si>
    <t>MARCILLOLES</t>
  </si>
  <si>
    <t>L'´ECHOPPE DE MAMI</t>
  </si>
  <si>
    <t>SAINT PIERRE D ENTREMONT</t>
  </si>
  <si>
    <t>LE PAPAYA</t>
  </si>
  <si>
    <t>SAINT LAURENT EN BEAUMONT</t>
  </si>
  <si>
    <t>O PTIT RESTO</t>
  </si>
  <si>
    <t>LA PETITE DODUE</t>
  </si>
  <si>
    <t>SAINT JEAN DE VAULX</t>
  </si>
  <si>
    <t>BISTROT DE LA GARE</t>
  </si>
  <si>
    <t>E.I. LE CHAMECHAUDE</t>
  </si>
  <si>
    <t>CAFE DE LA GARE</t>
  </si>
  <si>
    <t>LA MOTTE D'AVEILLANS</t>
  </si>
  <si>
    <t>HANDI-TUNING SHOW</t>
  </si>
  <si>
    <t>POLIENAS</t>
  </si>
  <si>
    <t>LA TABLE DES COPAINS</t>
  </si>
  <si>
    <t>SNACK DU BORD DU LAC TI AMO</t>
  </si>
  <si>
    <t>BILIEU</t>
  </si>
  <si>
    <t>BISTROT DE CHARTREUSE</t>
  </si>
  <si>
    <t>RESTAURANT LES PLATANES</t>
  </si>
  <si>
    <t>CHARNECLES</t>
  </si>
  <si>
    <t>CAMPING BELLE VUE</t>
  </si>
  <si>
    <t>BELLE RIVE RESTAURANT</t>
  </si>
  <si>
    <t>PARC NATUREL DE CHAMBARAN</t>
  </si>
  <si>
    <t>SAINT PIERRE DE BRESSIEUX</t>
  </si>
  <si>
    <t>LES AVEILLES</t>
  </si>
  <si>
    <t>LA FABRIQUE DU SUSHI LM</t>
  </si>
  <si>
    <t>SEDIS ON</t>
  </si>
  <si>
    <t xml:space="preserve">WAKE UP PARK </t>
  </si>
  <si>
    <t>SAND WICH SNACKING</t>
  </si>
  <si>
    <t>CAFE DES TOURISTES</t>
  </si>
  <si>
    <t>AU CHALET DU PLANOLET</t>
  </si>
  <si>
    <t>AU PETIT CREUX</t>
  </si>
  <si>
    <t>LA RIVIERE</t>
  </si>
  <si>
    <t>QG MATHEYSIN</t>
  </si>
  <si>
    <t>UNCLE JOE'S</t>
  </si>
  <si>
    <t>AUX SAVEURS DES REINES</t>
  </si>
  <si>
    <t>AUBERGE DES CHASSEURS</t>
  </si>
  <si>
    <t>VIRIVILLE</t>
  </si>
  <si>
    <t>MARIO'S BURGER</t>
  </si>
  <si>
    <t>AU FURES ET A MESURE</t>
  </si>
  <si>
    <t>FURES</t>
  </si>
  <si>
    <t>PISCINE INTERCOMMUNAL DE BEAUREPAIRE</t>
  </si>
  <si>
    <t>PISCINE DE TULLINS</t>
  </si>
  <si>
    <t>LA GRANGE DE PAPY</t>
  </si>
  <si>
    <t>BEAUCROISSANT</t>
  </si>
  <si>
    <t>BRETSEL O FOUR</t>
  </si>
  <si>
    <t>LE CABAS DU MINEUR</t>
  </si>
  <si>
    <t>BAR DES ALPES</t>
  </si>
  <si>
    <t>MA PTITE EPICERIE</t>
  </si>
  <si>
    <t>L'ESCALE DU DESERT</t>
  </si>
  <si>
    <t>CAMPING DE L'OURSON</t>
  </si>
  <si>
    <t>LE CHALET JAUNE</t>
  </si>
  <si>
    <t>L'ATRE FLEURI</t>
  </si>
  <si>
    <t>SAINT PIERRE DE CHARTREU</t>
  </si>
  <si>
    <t>LA BOUCHERIE DU GRAND LEMPS</t>
  </si>
  <si>
    <t>LE GRAND LEMPS</t>
  </si>
  <si>
    <t>L ARTISTE</t>
  </si>
  <si>
    <t>VOUREY</t>
  </si>
  <si>
    <t>LA PASTINA</t>
  </si>
  <si>
    <t>GIRON TRAITEUR</t>
  </si>
  <si>
    <t>GILLONNAY</t>
  </si>
  <si>
    <t>CVS</t>
  </si>
  <si>
    <t>VEUREY VOROIZE</t>
  </si>
  <si>
    <t>PISCINE DE RENAGE</t>
  </si>
  <si>
    <t>STATION TOTAL</t>
  </si>
  <si>
    <t>FERME LES 13 FONTAINES</t>
  </si>
  <si>
    <t>CHARTREUSE INSOLITE</t>
  </si>
  <si>
    <t>NINA PIZZA</t>
  </si>
  <si>
    <t>ST QUENTIN SUR ISERE</t>
  </si>
  <si>
    <t>CHEZ GHISLAINE</t>
  </si>
  <si>
    <t>ZINGY TACOS</t>
  </si>
  <si>
    <t>EPICERIE TRAITEUR JAY</t>
  </si>
  <si>
    <t>B9 NASRULLAH LA COTE ST ANDRE</t>
  </si>
  <si>
    <t>LE GRAND CAFE DE LA MURE</t>
  </si>
  <si>
    <t>MUSEE DE LA MINE IMAGE</t>
  </si>
  <si>
    <t>BOUCHERIE GERIN CEDRIC</t>
  </si>
  <si>
    <t>ST JEAN DE BOURNAY</t>
  </si>
  <si>
    <t>LE TERMINUS</t>
  </si>
  <si>
    <t>RIVES</t>
  </si>
  <si>
    <t>VINCE LAND</t>
  </si>
  <si>
    <t>HOTEL LE VICTORIA</t>
  </si>
  <si>
    <t>LA BELLE HUMEUR</t>
  </si>
  <si>
    <t>SAINT ETIENNE DE SAINT GEO</t>
  </si>
  <si>
    <t>LE GRAND CAFE</t>
  </si>
  <si>
    <t>AUBERGE DES 4 CHEMINS</t>
  </si>
  <si>
    <t>NOTRE DAME DE VAUX</t>
  </si>
  <si>
    <t>STEMIL 38</t>
  </si>
  <si>
    <t>APPRIEU</t>
  </si>
  <si>
    <t>LA SCIA 1800</t>
  </si>
  <si>
    <t>GUL KEBAB</t>
  </si>
  <si>
    <t>SOU DES ECOLES DE BEVENAIS</t>
  </si>
  <si>
    <t>BEVENAIS</t>
  </si>
  <si>
    <t>VIVAL ST JEAN DE BOURNAY</t>
  </si>
  <si>
    <t>SAINT JEAN DE BOURNAY</t>
  </si>
  <si>
    <t>MON MARCHE ORIENTAL</t>
  </si>
  <si>
    <t>COMITE DES FETES BEAUCROISSANT</t>
  </si>
  <si>
    <t>CHEZ FRITES 38</t>
  </si>
  <si>
    <t>LE PETIT CAFE</t>
  </si>
  <si>
    <t>ST JEAN DE MOIRANS</t>
  </si>
  <si>
    <t>SOU DES ECOLES DE CHARAVINES</t>
  </si>
  <si>
    <t>CLUB DE GYM MOIRANNAIS</t>
  </si>
  <si>
    <t>PLEIN SUD</t>
  </si>
  <si>
    <t>LAMENTONNAISE</t>
  </si>
  <si>
    <t>COTE ST ANDRE</t>
  </si>
  <si>
    <t>POISSONNERIE HENRY BOWN</t>
  </si>
  <si>
    <t>NINON DELICES</t>
  </si>
  <si>
    <t>SAINT GERVAIS</t>
  </si>
  <si>
    <t>MYCYBERCITY38</t>
  </si>
  <si>
    <t>LE FARO</t>
  </si>
  <si>
    <t>L'ETAPE GOURMANDE</t>
  </si>
  <si>
    <t>ASSOCIATION POUR DES SOURIRES</t>
  </si>
  <si>
    <t>ROYBON</t>
  </si>
  <si>
    <t>THERESE TISSU</t>
  </si>
  <si>
    <t>IZEAUX</t>
  </si>
  <si>
    <t>BEER TRUCK DES ALPES</t>
  </si>
  <si>
    <t>SAS IRPC</t>
  </si>
  <si>
    <t>ART ET DELICE</t>
  </si>
  <si>
    <t>LE BISTROT DES MARAIS</t>
  </si>
  <si>
    <t>STATION TOTAL GARAGE TOZLANIAN</t>
  </si>
  <si>
    <t>LA FRETTE</t>
  </si>
  <si>
    <t>VIVAL GN CHATONNAY</t>
  </si>
  <si>
    <t>CHATONNAY</t>
  </si>
  <si>
    <t>TABAC PRESSE</t>
  </si>
  <si>
    <t>LE ROYAL</t>
  </si>
  <si>
    <t>VIVAL RENAGE</t>
  </si>
  <si>
    <t>PAPILLES MOBILES</t>
  </si>
  <si>
    <t>CASA MIA PIZZERIA</t>
  </si>
  <si>
    <t>ASSO TRAIL DU LAC DE PALADRU</t>
  </si>
  <si>
    <t>L'UN PASSE</t>
  </si>
  <si>
    <t>LA CAVERNE AUX DRAGONS</t>
  </si>
  <si>
    <t>LA MRE</t>
  </si>
  <si>
    <t>CSE AMB ROUSSET</t>
  </si>
  <si>
    <t>BEAULIEU</t>
  </si>
  <si>
    <t>B9 BEAUREPAIRE</t>
  </si>
  <si>
    <t>TONY B SERVICES</t>
  </si>
  <si>
    <t>ASSOCIATION FRANCO PORTUGAISE</t>
  </si>
  <si>
    <t>VOIRON</t>
  </si>
  <si>
    <t>B9 SJDB</t>
  </si>
  <si>
    <t>CINEMA L ORON</t>
  </si>
  <si>
    <t>PALAIS DE LA GRILLADE</t>
  </si>
  <si>
    <t>LES FOUS DU VOLANT</t>
  </si>
  <si>
    <t>LE RIMINI</t>
  </si>
  <si>
    <t>JP FORMATION</t>
  </si>
  <si>
    <t>SNACK DES LACS</t>
  </si>
  <si>
    <t>BOULANGERIE DU LAC</t>
  </si>
  <si>
    <t>CHAMBRE D HOTE VINCENT ROGER</t>
  </si>
  <si>
    <t>LA RUCHE A GITER</t>
  </si>
  <si>
    <t>SAINT CHRISTOPHE SUR GUIER</t>
  </si>
  <si>
    <t>LA CERISE SUR LE CAFE</t>
  </si>
  <si>
    <t>PIZZERIA DES HALLES</t>
  </si>
  <si>
    <t>ST ETIENNE DE ST GEOIRS</t>
  </si>
  <si>
    <t>0476066178</t>
  </si>
  <si>
    <t>0624023134 /chef /0664791478/2</t>
  </si>
  <si>
    <t>0476888104</t>
  </si>
  <si>
    <t xml:space="preserve"> tel fixe en septemebre</t>
  </si>
  <si>
    <t>0967752261</t>
  </si>
  <si>
    <t>06.74.14.32.54</t>
  </si>
  <si>
    <t>0476066020</t>
  </si>
  <si>
    <t>0674744886 Fa/0661526548 sali</t>
  </si>
  <si>
    <t>0476313851</t>
  </si>
  <si>
    <t>luciana</t>
  </si>
  <si>
    <t>0476839134</t>
  </si>
  <si>
    <t>06.31.09.45.51 /1</t>
  </si>
  <si>
    <t>0476871533</t>
  </si>
  <si>
    <t>1-0476871533/WEB</t>
  </si>
  <si>
    <t>0476374521</t>
  </si>
  <si>
    <t>07.78.57.43.17</t>
  </si>
  <si>
    <t>0476557301</t>
  </si>
  <si>
    <t>06.24.82.18.68/2</t>
  </si>
  <si>
    <t>0474572933</t>
  </si>
  <si>
    <t>06.30.83.83.85 /1</t>
  </si>
  <si>
    <t>0476308814</t>
  </si>
  <si>
    <t>06.23.96.33.74 olivier</t>
  </si>
  <si>
    <t>0476913195</t>
  </si>
  <si>
    <t>tel sur fixe</t>
  </si>
  <si>
    <t>0476830022</t>
  </si>
  <si>
    <t>hubert 06.16.77.05.56 /1</t>
  </si>
  <si>
    <t>0476830835</t>
  </si>
  <si>
    <t>0614231712 /1 olivier</t>
  </si>
  <si>
    <t>0476324411</t>
  </si>
  <si>
    <t xml:space="preserve"> David</t>
  </si>
  <si>
    <t>0476308856</t>
  </si>
  <si>
    <t>0476069271</t>
  </si>
  <si>
    <t>0624125861 /1 FLASH</t>
  </si>
  <si>
    <t>0684218899</t>
  </si>
  <si>
    <t>06.08.38.83.98 José/1</t>
  </si>
  <si>
    <t>0643171322</t>
  </si>
  <si>
    <t>06.06.99.06.79 /1 fille</t>
  </si>
  <si>
    <t>0474562275</t>
  </si>
  <si>
    <t>OP FLASH + DESTOCK</t>
  </si>
  <si>
    <t>0753006391/1 Laetiitia DSTK</t>
  </si>
  <si>
    <t>0476066007</t>
  </si>
  <si>
    <t>06.48.42.89.09 NO tel WEB</t>
  </si>
  <si>
    <t>0476731290/2</t>
  </si>
  <si>
    <t>0981425200</t>
  </si>
  <si>
    <t>06.09.69.00.56 /1 Olivier</t>
  </si>
  <si>
    <t>0474201306</t>
  </si>
  <si>
    <t>DESTOC</t>
  </si>
  <si>
    <t>0479658928</t>
  </si>
  <si>
    <t>0671738227</t>
  </si>
  <si>
    <t>0689763783</t>
  </si>
  <si>
    <t>07.89.07.39.01</t>
  </si>
  <si>
    <t>tel 0609532378</t>
  </si>
  <si>
    <t>0438021012</t>
  </si>
  <si>
    <t>06.83.26.52.34</t>
  </si>
  <si>
    <t>0474542592</t>
  </si>
  <si>
    <t>0457206298</t>
  </si>
  <si>
    <t>0456470031-1/06.24.16.51.60</t>
  </si>
  <si>
    <t>0476078979</t>
  </si>
  <si>
    <t>0787084214 /1 FLASH</t>
  </si>
  <si>
    <t>0602683134</t>
  </si>
  <si>
    <t>04.76.38.94.70</t>
  </si>
  <si>
    <t>0476886036</t>
  </si>
  <si>
    <t>06.17.38.81.64 /1 LIV MER 2/07</t>
  </si>
  <si>
    <t>0476078120</t>
  </si>
  <si>
    <t>tel /fixe 0626272208 /2 jerome</t>
  </si>
  <si>
    <t>0479658052</t>
  </si>
  <si>
    <t>LIV MERCREDI 02/07</t>
  </si>
  <si>
    <t>0681283889 /1</t>
  </si>
  <si>
    <t>0756849146</t>
  </si>
  <si>
    <t>0476305626</t>
  </si>
  <si>
    <t>0686673210</t>
  </si>
  <si>
    <t>04.38.86.41.73 /2  pascal</t>
  </si>
  <si>
    <t>0681807734</t>
  </si>
  <si>
    <t>0985014143</t>
  </si>
  <si>
    <t>0474204332</t>
  </si>
  <si>
    <t xml:space="preserve">  FLASH DSTK</t>
  </si>
  <si>
    <t>0479658155</t>
  </si>
  <si>
    <t>0474568527</t>
  </si>
  <si>
    <t>06.52.09.37.48/1</t>
  </si>
  <si>
    <t>0616744651</t>
  </si>
  <si>
    <t>0476888276</t>
  </si>
  <si>
    <t>06.80.74.13.96 /1 chef</t>
  </si>
  <si>
    <t>0476060737</t>
  </si>
  <si>
    <t>06.40.81.74.27 Léa /1</t>
  </si>
  <si>
    <t>06.65.55.20.65 cathy</t>
  </si>
  <si>
    <t>0476309610</t>
  </si>
  <si>
    <t>0476839197</t>
  </si>
  <si>
    <t>ricardo 0616776124</t>
  </si>
  <si>
    <t>0479658029</t>
  </si>
  <si>
    <t>0686377043 / 1</t>
  </si>
  <si>
    <t>0476810132</t>
  </si>
  <si>
    <t>0474203517</t>
  </si>
  <si>
    <t>06.60.84.48.54</t>
  </si>
  <si>
    <t>0685428290</t>
  </si>
  <si>
    <t>0476669674 /1</t>
  </si>
  <si>
    <t>0474532301</t>
  </si>
  <si>
    <t>tel 0664868474</t>
  </si>
  <si>
    <t>06.50.95.54.45</t>
  </si>
  <si>
    <t>0476886935</t>
  </si>
  <si>
    <t xml:space="preserve"> liv mercredi debut 02/07</t>
  </si>
  <si>
    <t>0476306042</t>
  </si>
  <si>
    <t>06.30.47.41.97</t>
  </si>
  <si>
    <t>0682963904</t>
  </si>
  <si>
    <t>0673903046</t>
  </si>
  <si>
    <t>0660874219</t>
  </si>
  <si>
    <t>06.60.87.42.19</t>
  </si>
  <si>
    <t>07.60.27.27.44 /1</t>
  </si>
  <si>
    <t>0967235700</t>
  </si>
  <si>
    <t>09.67.23.57.00 /1</t>
  </si>
  <si>
    <t>0648428909</t>
  </si>
  <si>
    <t>0648428909 web</t>
  </si>
  <si>
    <t>0474201493</t>
  </si>
  <si>
    <t>0476304870</t>
  </si>
  <si>
    <t>06.69.96.28.19 Myriam</t>
  </si>
  <si>
    <t>06.31.67.56.76 angelique</t>
  </si>
  <si>
    <t>0699012349 /1</t>
  </si>
  <si>
    <t>0617683071</t>
  </si>
  <si>
    <t>0476731250</t>
  </si>
  <si>
    <t>tel 0684599991</t>
  </si>
  <si>
    <t>0476935281</t>
  </si>
  <si>
    <t>0686352492</t>
  </si>
  <si>
    <t>0456562090</t>
  </si>
  <si>
    <t>0628504497 2/</t>
  </si>
  <si>
    <t>0633387426</t>
  </si>
  <si>
    <t>0474540508</t>
  </si>
  <si>
    <t>06.71.02.47.20</t>
  </si>
  <si>
    <t>07.56.84.91.46</t>
  </si>
  <si>
    <t>0647458665 /1 insister</t>
  </si>
  <si>
    <t>0684375764</t>
  </si>
  <si>
    <t>0659049518 /1</t>
  </si>
  <si>
    <t>0614710427</t>
  </si>
  <si>
    <t>04.79.72.53.14</t>
  </si>
  <si>
    <t>0479260563</t>
  </si>
  <si>
    <t>0476886021</t>
  </si>
  <si>
    <t>0476553307</t>
  </si>
  <si>
    <t>0984676938</t>
  </si>
  <si>
    <t>0474846051</t>
  </si>
  <si>
    <t>0474209690</t>
  </si>
  <si>
    <t>07.71.17.07.43</t>
  </si>
  <si>
    <t>0476810369</t>
  </si>
  <si>
    <t>06.87.18.81.43 Alex</t>
  </si>
  <si>
    <t>0640416755</t>
  </si>
  <si>
    <t>0687387935 /1</t>
  </si>
  <si>
    <t>0476306874</t>
  </si>
  <si>
    <t>Denise</t>
  </si>
  <si>
    <t>0474587051</t>
  </si>
  <si>
    <t>0608703412</t>
  </si>
  <si>
    <t xml:space="preserve"> tel tot sinon cde concurrence</t>
  </si>
  <si>
    <t>0666542875</t>
  </si>
  <si>
    <t>06.50.38.84.88</t>
  </si>
  <si>
    <t>0476886006</t>
  </si>
  <si>
    <t>0476069113</t>
  </si>
  <si>
    <t>06.32.60.78.21</t>
  </si>
  <si>
    <t>0476351259</t>
  </si>
  <si>
    <t>07.82.79.09.13</t>
  </si>
  <si>
    <t>0601937185</t>
  </si>
  <si>
    <t>0950520180</t>
  </si>
  <si>
    <t>0630699133</t>
  </si>
  <si>
    <t>06.52.38.84.46 ne pas tel</t>
  </si>
  <si>
    <t>0428570000</t>
  </si>
  <si>
    <t>0698438549</t>
  </si>
  <si>
    <t>0685589866/1 0698349368 chrys</t>
  </si>
  <si>
    <t>0474546199</t>
  </si>
  <si>
    <t>0456223501</t>
  </si>
  <si>
    <t>0633012987</t>
  </si>
  <si>
    <t>0474858448</t>
  </si>
  <si>
    <t>0660943361 /1</t>
  </si>
  <si>
    <t>06.26.04.69.16</t>
  </si>
  <si>
    <t>0469110084</t>
  </si>
  <si>
    <t>0667060949</t>
  </si>
  <si>
    <t>0476066142</t>
  </si>
  <si>
    <t>0479658165</t>
  </si>
  <si>
    <t>0476063821</t>
  </si>
  <si>
    <t>apl 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</si>
</sst>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&quot; &quot;##&quot; &quot;##&quot; &quot;##&quot; &quot;##"/>
    <numFmt numFmtId="165" formatCode="h:mm;@"/>
  </numFmts>
  <fonts count="13" x14ac:knownFonts="1">
    <font>
      <sz val="11"/>
      <color indexed="8"/>
      <name val="Calibri"/>
    </font>
    <font>
      <b/>
      <sz val="13"/>
      <color indexed="8"/>
      <name val="Calibri"/>
      <family val="2"/>
    </font>
    <font>
      <sz val="11"/>
      <color indexed="8"/>
      <name val="Calibri"/>
      <family val="2"/>
    </font>
    <font>
      <b/>
      <sz val="13"/>
      <color indexed="8"/>
      <name val="Calibri"/>
      <family val="2"/>
    </font>
    <font>
      <b/>
      <sz val="13"/>
      <color theme="0"/>
      <name val="Calibri"/>
      <family val="2"/>
    </font>
    <font>
      <b/>
      <sz val="14"/>
      <color indexed="8"/>
      <name val="Calibri"/>
      <family val="2"/>
    </font>
    <font>
      <b/>
      <sz val="24"/>
      <name val="Calibri"/>
      <family val="2"/>
    </font>
    <font>
      <b/>
      <sz val="24"/>
      <color indexed="8"/>
      <name val="Calibri"/>
      <family val="2"/>
    </font>
    <font>
      <i/>
      <sz val="11"/>
      <color indexed="8"/>
      <name val="Calibri"/>
      <family val="2"/>
    </font>
    <font>
      <b/>
      <sz val="11"/>
      <color rgb="FFFF0000"/>
      <name val="Calibri"/>
      <family val="2"/>
    </font>
    <font>
      <b/>
      <i/>
      <sz val="11"/>
      <color indexed="8"/>
      <name val="Calibri"/>
      <family val="2"/>
    </font>
    <font>
      <b/>
      <sz val="13"/>
      <color theme="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5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446AA3"/>
      </left>
      <right style="thin">
        <color rgb="FF446AA3"/>
      </right>
      <top style="thin">
        <color rgb="FF446AA3"/>
      </top>
      <bottom style="thin">
        <color rgb="FF446AA3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8"/>
    <xf numFmtId="1" fontId="12" fillId="0" borderId="8"/>
    <xf numFmtId="1" fontId="12" fillId="0" borderId="8"/>
  </cellStyleXfs>
  <cellXfs count="39">
    <xf numFmtId="0" fontId="0" fillId="0" borderId="0" xfId="0"/>
    <xf numFmtId="49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/>
    </xf>
    <xf numFmtId="49" fontId="4" fillId="2" borderId="10" xfId="0" applyNumberFormat="1" applyFont="1" applyFill="1" applyBorder="1" applyAlignment="1">
      <alignment horizontal="center" vertical="center" wrapText="1"/>
    </xf>
    <xf numFmtId="164" fontId="4" fillId="2" borderId="10" xfId="0" applyNumberFormat="1" applyFont="1" applyFill="1" applyBorder="1" applyAlignment="1">
      <alignment horizontal="center" vertical="center"/>
    </xf>
    <xf numFmtId="49" fontId="11" fillId="2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left" vertical="center"/>
    </xf>
    <xf numFmtId="0" fontId="12" fillId="0" borderId="8" xfId="1"/>
    <xf numFmtId="1" fontId="12" fillId="0" borderId="8" xfId="2"/>
    <xf numFmtId="165" fontId="3" fillId="0" borderId="3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2" fillId="0" borderId="0" xfId="0" applyFont="1"/>
    <xf numFmtId="0" fontId="9" fillId="0" borderId="0" xfId="0" applyFont="1"/>
  </cellXfs>
  <cellStyles count="4">
    <cellStyle name="Normal" xfId="0" builtinId="0"/>
    <cellStyle name="Style1" xfId="2" xr:uid="{00000000-0005-0000-0000-000002000000}"/>
    <cellStyle name="Style2" xfId="3" xr:uid="{4E0C2047-A349-47D8-87C1-A12A33179C58}"/>
    <cellStyle name="StyleDft" xfId="1" xr:uid="{00000000-0005-0000-0000-000001000000}"/>
  </cellStyles>
  <dxfs count="16">
    <dxf>
      <numFmt numFmtId="30" formatCode="@"/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vertAlign val="baseline"/>
        <sz val="14"/>
        <color indexed="8"/>
        <name val="Calibri"/>
      </font>
      <numFmt numFmtId="164" formatCode="0#&quot; &quot;##&quot; &quot;##&quot; &quot;##&quot; &quot;##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/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/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left" vertical="center" textRotation="0" wrapText="0" indent="0" justifyLastLine="0" shrinkToFit="0" readingOrder="0"/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165" formatCode="h:mm;@"/>
      <alignment horizontal="center" vertical="center" textRotation="0" wrapText="0" indent="0" justifyLastLine="0" shrinkToFit="0" readingOrder="0"/>
      <border>
        <left/>
        <right style="thin">
          <color indexed="9"/>
        </right>
        <top style="thin">
          <color indexed="9"/>
        </top>
        <bottom style="thin">
          <color indexed="9"/>
        </bottom>
      </border>
    </dxf>
    <dxf>
      <border outline="0">
        <top style="thin">
          <color indexed="9"/>
        </top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  <dxf>
      <numFmt numFmtId="30" formatCode="@"/>
      <alignment horizontal="center" vertical="center" textRotation="0" wrapText="0" indent="0" justifyLastLine="0" shrinkToFit="0" readingOrder="0"/>
    </dxf>
    <dxf>
      <border outline="0">
        <bottom style="thin">
          <color indexed="9"/>
        </bottom>
      </border>
    </dxf>
    <dxf>
      <font>
        <b/>
        <strike val="0"/>
        <condense val="0"/>
        <extend val="0"/>
        <outline val="0"/>
        <shadow val="0"/>
        <vertAlign val="baseline"/>
        <sz val="13"/>
        <color indexed="8"/>
        <name val="Calibri"/>
      </font>
      <numFmt numFmtId="30" formatCode="@"/>
      <alignment horizontal="center" vertical="center" textRotation="0" indent="0" justifyLastLine="0" shrinkToFit="0" readingOrder="0"/>
      <border outline="0">
        <left style="thin">
          <color indexed="9"/>
        </left>
        <right style="thin">
          <color indexed="9"/>
        </right>
        <top/>
        <bottom/>
      </border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CLIENTS" displayName="BASECLIENTS" ref="A1:K1048576" totalsRowShown="0" headerRowDxfId="15" dataDxfId="13" headerRowBorderDxfId="14" tableBorderDxfId="12" totalsRowBorderDxfId="11">
  <autoFilter ref="A1:K1048576" xr:uid="{00000000-0009-0000-0100-000001000000}"/>
  <sortState xmlns:xlrd2="http://schemas.microsoft.com/office/spreadsheetml/2017/richdata2" ref="A2:K954">
    <sortCondition ref="D1:D1048576"/>
  </sortState>
  <tableColumns count="11">
    <tableColumn id="1" xr3:uid="{00000000-0010-0000-0000-000001000000}" name="HEURE D APPELS" dataDxfId="10"/>
    <tableColumn id="2" xr3:uid="{00000000-0010-0000-0000-000002000000}" name="NOM CLIENTS" dataDxfId="9"/>
    <tableColumn id="3" xr3:uid="{00000000-0010-0000-0000-000003000000}" name="CODE CLIENTS" dataDxfId="8"/>
    <tableColumn id="4" xr3:uid="{00000000-0010-0000-0000-000004000000}" name="VILLE" dataDxfId="7"/>
    <tableColumn id="7" xr3:uid="{00000000-0010-0000-0000-000007000000}" name="LUNDI" dataDxfId="6"/>
    <tableColumn id="8" xr3:uid="{00000000-0010-0000-0000-000008000000}" name="MARDI" dataDxfId="5"/>
    <tableColumn id="9" xr3:uid="{00000000-0010-0000-0000-000009000000}" name="MERCREDI" dataDxfId="4"/>
    <tableColumn id="13" xr3:uid="{00000000-0010-0000-0000-00000D000000}" name="JEUDI" dataDxfId="3"/>
    <tableColumn id="17" xr3:uid="{00000000-0010-0000-0000-000011000000}" name="VENDREDI" dataDxfId="2"/>
    <tableColumn id="15" xr3:uid="{00000000-0010-0000-0000-00000F000000}" name="Numéro de téléphone" dataDxfId="1"/>
    <tableColumn id="6" xr3:uid="{00000000-0010-0000-0000-000006000000}" name="COMMENTAIR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workbookViewId="0">
      <selection activeCell="A14" sqref="A14:S14"/>
    </sheetView>
  </sheetViews>
  <sheetFormatPr baseColWidth="10" defaultRowHeight="15" x14ac:dyDescent="0.25"/>
  <cols>
    <col min="1" max="1" width="44.42578125" customWidth="1"/>
  </cols>
  <sheetData>
    <row r="1" spans="1:19" ht="31.5" customHeight="1" x14ac:dyDescent="0.5">
      <c r="A1" s="33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1:19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x14ac:dyDescent="0.25">
      <c r="A3" s="35" t="s">
        <v>12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19" x14ac:dyDescent="0.25">
      <c r="A4" s="35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x14ac:dyDescent="0.25">
      <c r="A5" s="35" t="s">
        <v>13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19" x14ac:dyDescent="0.25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19" ht="31.5" customHeight="1" x14ac:dyDescent="0.5">
      <c r="A7" s="33" t="s">
        <v>14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 x14ac:dyDescent="0.25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x14ac:dyDescent="0.25">
      <c r="A9" s="35" t="s">
        <v>15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x14ac:dyDescent="0.25">
      <c r="A10" s="37" t="s">
        <v>16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ht="31.5" customHeight="1" x14ac:dyDescent="0.5">
      <c r="A11" s="34" t="s">
        <v>17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x14ac:dyDescent="0.25">
      <c r="A13" s="35" t="s">
        <v>18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x14ac:dyDescent="0.25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31.5" customHeight="1" x14ac:dyDescent="0.5">
      <c r="A15" s="33" t="s">
        <v>19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x14ac:dyDescent="0.25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x14ac:dyDescent="0.25">
      <c r="A17" s="35" t="s">
        <v>20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x14ac:dyDescent="0.25">
      <c r="A19" s="38" t="s">
        <v>21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 x14ac:dyDescent="0.25">
      <c r="A20" s="36" t="s">
        <v>22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1:19" x14ac:dyDescent="0.25">
      <c r="A21" s="36" t="s">
        <v>23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</row>
    <row r="22" spans="1:19" x14ac:dyDescent="0.25">
      <c r="A22" s="36" t="s">
        <v>24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1:19" x14ac:dyDescent="0.25">
      <c r="A23" s="36" t="s">
        <v>25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1:19" x14ac:dyDescent="0.25">
      <c r="A24" s="36" t="s">
        <v>26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</row>
    <row r="25" spans="1:19" ht="31.5" customHeight="1" x14ac:dyDescent="0.5">
      <c r="A25" s="34" t="s">
        <v>27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1:19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1:19" x14ac:dyDescent="0.25">
      <c r="A27" s="35" t="s">
        <v>28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x14ac:dyDescent="0.25">
      <c r="A28" s="35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x14ac:dyDescent="0.25">
      <c r="A29" s="35" t="s">
        <v>29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x14ac:dyDescent="0.25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</sheetData>
  <mergeCells count="30">
    <mergeCell ref="A9:S9"/>
    <mergeCell ref="A24:S24"/>
    <mergeCell ref="A5:S5"/>
    <mergeCell ref="A23:S23"/>
    <mergeCell ref="A14:S14"/>
    <mergeCell ref="A8:S8"/>
    <mergeCell ref="A22:S22"/>
    <mergeCell ref="A17:S17"/>
    <mergeCell ref="A20:S20"/>
    <mergeCell ref="A29:S29"/>
    <mergeCell ref="A10:S10"/>
    <mergeCell ref="A19:S19"/>
    <mergeCell ref="A28:S28"/>
    <mergeCell ref="A13:S13"/>
    <mergeCell ref="A30:S30"/>
    <mergeCell ref="A15:S15"/>
    <mergeCell ref="A11:S11"/>
    <mergeCell ref="A6:S6"/>
    <mergeCell ref="A1:S1"/>
    <mergeCell ref="A16:S16"/>
    <mergeCell ref="A7:S7"/>
    <mergeCell ref="A25:S25"/>
    <mergeCell ref="A18:S18"/>
    <mergeCell ref="A27:S27"/>
    <mergeCell ref="A3:S3"/>
    <mergeCell ref="A21:S21"/>
    <mergeCell ref="A12:S12"/>
    <mergeCell ref="A26:S26"/>
    <mergeCell ref="A2:S2"/>
    <mergeCell ref="A4:S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54"/>
  <sheetViews>
    <sheetView showGridLines="0" tabSelected="1" zoomScale="85" zoomScaleNormal="85" workbookViewId="0">
      <selection activeCell="K8" sqref="K8"/>
    </sheetView>
  </sheetViews>
  <sheetFormatPr baseColWidth="10" defaultColWidth="10.7109375" defaultRowHeight="15.95" customHeight="1" x14ac:dyDescent="0.25"/>
  <cols>
    <col min="1" max="1" width="23.7109375" style="25" customWidth="1"/>
    <col min="2" max="2" width="41.42578125" customWidth="1"/>
    <col min="3" max="3" width="20.7109375" customWidth="1"/>
    <col min="4" max="4" width="31.7109375" customWidth="1"/>
    <col min="5" max="6" width="15.7109375" style="14" customWidth="1"/>
    <col min="7" max="8" width="15.7109375" style="17" customWidth="1"/>
    <col min="9" max="9" width="15.7109375" style="20" customWidth="1"/>
    <col min="10" max="10" width="33.7109375" customWidth="1"/>
    <col min="11" max="11" width="42" customWidth="1"/>
    <col min="12" max="12" width="10.7109375" customWidth="1"/>
  </cols>
  <sheetData>
    <row r="1" spans="1:11" ht="15.95" customHeight="1" x14ac:dyDescent="0.25">
      <c r="A1" s="24" t="s">
        <v>0</v>
      </c>
      <c r="B1" s="21" t="s">
        <v>1</v>
      </c>
      <c r="C1" s="4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1" t="s">
        <v>10</v>
      </c>
    </row>
    <row r="2" spans="1:11" ht="15.95" customHeight="1" x14ac:dyDescent="0.25">
      <c r="B2" s="22" t="s">
        <v>30</v>
      </c>
      <c r="C2" s="23">
        <v>311822</v>
      </c>
      <c r="D2" s="22" t="s">
        <v>31</v>
      </c>
      <c r="E2" s="6"/>
      <c r="F2" s="6"/>
      <c r="G2" s="6"/>
      <c r="H2" s="6"/>
      <c r="I2" s="6"/>
      <c r="J2" s="22" t="s">
        <v>291</v>
      </c>
      <c r="K2" s="22" t="s">
        <v>292</v>
      </c>
    </row>
    <row r="3" spans="1:11" ht="15.95" customHeight="1" x14ac:dyDescent="0.25">
      <c r="B3" s="22" t="s">
        <v>32</v>
      </c>
      <c r="C3" s="23">
        <v>38217</v>
      </c>
      <c r="D3" s="22" t="s">
        <v>33</v>
      </c>
      <c r="E3" s="6"/>
      <c r="F3" s="6"/>
      <c r="G3" s="6"/>
      <c r="H3" s="6"/>
      <c r="I3" s="6"/>
      <c r="J3" s="22" t="s">
        <v>293</v>
      </c>
      <c r="K3" s="22" t="s">
        <v>294</v>
      </c>
    </row>
    <row r="4" spans="1:11" ht="15.95" customHeight="1" x14ac:dyDescent="0.25">
      <c r="B4" s="22" t="s">
        <v>34</v>
      </c>
      <c r="C4" s="23">
        <v>357705</v>
      </c>
      <c r="D4" s="22" t="s">
        <v>35</v>
      </c>
      <c r="E4" s="6"/>
      <c r="F4" s="6"/>
      <c r="G4" s="6"/>
      <c r="H4" s="6"/>
      <c r="I4" s="6"/>
      <c r="J4" s="22" t="s">
        <v>295</v>
      </c>
      <c r="K4" s="22" t="s">
        <v>296</v>
      </c>
    </row>
    <row r="5" spans="1:11" ht="15.95" customHeight="1" x14ac:dyDescent="0.25">
      <c r="B5" s="22" t="s">
        <v>36</v>
      </c>
      <c r="C5" s="23">
        <v>358729</v>
      </c>
      <c r="D5" s="22" t="s">
        <v>31</v>
      </c>
      <c r="E5" s="6"/>
      <c r="F5" s="6"/>
      <c r="G5" s="6"/>
      <c r="H5" s="6"/>
      <c r="I5" s="6"/>
      <c r="J5" s="22"/>
      <c r="K5" s="22"/>
    </row>
    <row r="6" spans="1:11" ht="15.95" customHeight="1" x14ac:dyDescent="0.25">
      <c r="B6" s="22" t="s">
        <v>37</v>
      </c>
      <c r="C6" s="23">
        <v>54465</v>
      </c>
      <c r="D6" s="22" t="s">
        <v>31</v>
      </c>
      <c r="E6" s="6"/>
      <c r="F6" s="6"/>
      <c r="G6" s="6"/>
      <c r="H6" s="6"/>
      <c r="I6" s="6"/>
      <c r="J6" s="22" t="s">
        <v>297</v>
      </c>
      <c r="K6" s="22" t="s">
        <v>298</v>
      </c>
    </row>
    <row r="7" spans="1:11" ht="15.95" customHeight="1" x14ac:dyDescent="0.25">
      <c r="B7" s="22" t="s">
        <v>38</v>
      </c>
      <c r="C7" s="23">
        <v>31803</v>
      </c>
      <c r="D7" s="22" t="s">
        <v>39</v>
      </c>
      <c r="E7" s="6"/>
      <c r="F7" s="6"/>
      <c r="G7" s="6"/>
      <c r="H7" s="6"/>
      <c r="I7" s="6"/>
      <c r="J7" s="22" t="s">
        <v>299</v>
      </c>
      <c r="K7" s="22" t="s">
        <v>300</v>
      </c>
    </row>
    <row r="8" spans="1:11" ht="15.95" customHeight="1" x14ac:dyDescent="0.25">
      <c r="B8" s="22" t="s">
        <v>40</v>
      </c>
      <c r="C8" s="23">
        <v>345956</v>
      </c>
      <c r="D8" s="22" t="s">
        <v>41</v>
      </c>
      <c r="E8" s="6"/>
      <c r="F8" s="6"/>
      <c r="G8" s="6"/>
      <c r="H8" s="6"/>
      <c r="I8" s="6"/>
      <c r="J8" s="22" t="s">
        <v>301</v>
      </c>
      <c r="K8" s="22" t="s">
        <v>302</v>
      </c>
    </row>
    <row r="9" spans="1:11" ht="15.95" customHeight="1" x14ac:dyDescent="0.25">
      <c r="B9" s="22" t="s">
        <v>42</v>
      </c>
      <c r="C9" s="23">
        <v>323722</v>
      </c>
      <c r="D9" s="22" t="s">
        <v>43</v>
      </c>
      <c r="E9" s="6"/>
      <c r="F9" s="6"/>
      <c r="G9" s="6"/>
      <c r="H9" s="6"/>
      <c r="I9" s="6"/>
      <c r="J9" s="22" t="s">
        <v>303</v>
      </c>
      <c r="K9" s="22" t="s">
        <v>304</v>
      </c>
    </row>
    <row r="10" spans="1:11" ht="15.95" customHeight="1" x14ac:dyDescent="0.25">
      <c r="B10" s="22" t="s">
        <v>44</v>
      </c>
      <c r="C10" s="23">
        <v>322389</v>
      </c>
      <c r="D10" s="22" t="s">
        <v>39</v>
      </c>
      <c r="E10" s="6"/>
      <c r="F10" s="6"/>
      <c r="G10" s="6"/>
      <c r="H10" s="6"/>
      <c r="I10" s="6"/>
      <c r="J10" s="22" t="s">
        <v>305</v>
      </c>
      <c r="K10" s="22" t="s">
        <v>306</v>
      </c>
    </row>
    <row r="11" spans="1:11" ht="15.95" customHeight="1" x14ac:dyDescent="0.25">
      <c r="B11" s="22" t="s">
        <v>45</v>
      </c>
      <c r="C11" s="23">
        <v>11312</v>
      </c>
      <c r="D11" s="22" t="s">
        <v>31</v>
      </c>
      <c r="E11" s="6"/>
      <c r="F11" s="6"/>
      <c r="G11" s="6"/>
      <c r="H11" s="6"/>
      <c r="I11" s="6"/>
      <c r="J11" s="22" t="s">
        <v>307</v>
      </c>
      <c r="K11" s="22" t="s">
        <v>308</v>
      </c>
    </row>
    <row r="12" spans="1:11" ht="15.95" customHeight="1" x14ac:dyDescent="0.25">
      <c r="B12" s="22" t="s">
        <v>46</v>
      </c>
      <c r="C12" s="23">
        <v>52085</v>
      </c>
      <c r="D12" s="22" t="s">
        <v>47</v>
      </c>
      <c r="E12" s="6"/>
      <c r="F12" s="6"/>
      <c r="G12" s="6"/>
      <c r="H12" s="6"/>
      <c r="I12" s="6"/>
      <c r="J12" s="22" t="s">
        <v>309</v>
      </c>
      <c r="K12" s="22" t="s">
        <v>310</v>
      </c>
    </row>
    <row r="13" spans="1:11" ht="15.95" customHeight="1" x14ac:dyDescent="0.25">
      <c r="B13" s="22" t="s">
        <v>48</v>
      </c>
      <c r="C13" s="23">
        <v>30013</v>
      </c>
      <c r="D13" s="22" t="s">
        <v>49</v>
      </c>
      <c r="E13" s="6"/>
      <c r="F13" s="6"/>
      <c r="G13" s="6"/>
      <c r="H13" s="6"/>
      <c r="I13" s="6"/>
      <c r="J13" s="22" t="s">
        <v>311</v>
      </c>
      <c r="K13" s="22" t="s">
        <v>312</v>
      </c>
    </row>
    <row r="14" spans="1:11" ht="15.95" customHeight="1" x14ac:dyDescent="0.25">
      <c r="B14" s="22" t="s">
        <v>50</v>
      </c>
      <c r="C14" s="23">
        <v>334021</v>
      </c>
      <c r="D14" s="22" t="s">
        <v>51</v>
      </c>
      <c r="E14" s="6"/>
      <c r="F14" s="6"/>
      <c r="G14" s="6"/>
      <c r="H14" s="6"/>
      <c r="I14" s="6"/>
      <c r="J14" s="22" t="s">
        <v>313</v>
      </c>
      <c r="K14" s="22" t="s">
        <v>314</v>
      </c>
    </row>
    <row r="15" spans="1:11" ht="15.95" customHeight="1" x14ac:dyDescent="0.25">
      <c r="B15" s="22" t="s">
        <v>52</v>
      </c>
      <c r="C15" s="23">
        <v>330911</v>
      </c>
      <c r="D15" s="22" t="s">
        <v>53</v>
      </c>
      <c r="E15" s="6"/>
      <c r="F15" s="6"/>
      <c r="G15" s="6"/>
      <c r="H15" s="6"/>
      <c r="I15" s="6"/>
      <c r="J15" s="22" t="s">
        <v>315</v>
      </c>
      <c r="K15" s="22" t="s">
        <v>316</v>
      </c>
    </row>
    <row r="16" spans="1:11" ht="15.95" customHeight="1" x14ac:dyDescent="0.25">
      <c r="B16" s="22" t="s">
        <v>54</v>
      </c>
      <c r="C16" s="23">
        <v>13628</v>
      </c>
      <c r="D16" s="22" t="s">
        <v>55</v>
      </c>
      <c r="E16" s="6"/>
      <c r="F16" s="6"/>
      <c r="G16" s="6"/>
      <c r="H16" s="6"/>
      <c r="I16" s="6"/>
      <c r="J16" s="22" t="s">
        <v>317</v>
      </c>
      <c r="K16" s="22" t="s">
        <v>318</v>
      </c>
    </row>
    <row r="17" spans="1:11" ht="15.95" customHeight="1" x14ac:dyDescent="0.25">
      <c r="B17" s="22" t="s">
        <v>56</v>
      </c>
      <c r="C17" s="23">
        <v>337463</v>
      </c>
      <c r="D17" s="22" t="s">
        <v>49</v>
      </c>
      <c r="E17" s="6"/>
      <c r="F17" s="6"/>
      <c r="G17" s="6"/>
      <c r="H17" s="6"/>
      <c r="I17" s="6"/>
      <c r="J17" s="22"/>
      <c r="K17" s="22"/>
    </row>
    <row r="18" spans="1:11" ht="15.95" customHeight="1" x14ac:dyDescent="0.25">
      <c r="B18" s="22" t="s">
        <v>57</v>
      </c>
      <c r="C18" s="23">
        <v>11583</v>
      </c>
      <c r="D18" s="22" t="s">
        <v>58</v>
      </c>
      <c r="E18" s="6"/>
      <c r="F18" s="6"/>
      <c r="G18" s="6"/>
      <c r="H18" s="6"/>
      <c r="I18" s="6"/>
      <c r="J18" s="22" t="s">
        <v>319</v>
      </c>
      <c r="K18" s="22" t="s">
        <v>320</v>
      </c>
    </row>
    <row r="19" spans="1:11" ht="15.95" customHeight="1" x14ac:dyDescent="0.25">
      <c r="B19" s="22" t="s">
        <v>59</v>
      </c>
      <c r="C19" s="23">
        <v>13662</v>
      </c>
      <c r="D19" s="22" t="s">
        <v>49</v>
      </c>
      <c r="E19" s="6"/>
      <c r="F19" s="6"/>
      <c r="G19" s="6"/>
      <c r="H19" s="6"/>
      <c r="I19" s="6"/>
      <c r="J19" s="22" t="s">
        <v>321</v>
      </c>
      <c r="K19" s="22"/>
    </row>
    <row r="20" spans="1:11" ht="15.95" customHeight="1" x14ac:dyDescent="0.25">
      <c r="B20" s="22" t="s">
        <v>60</v>
      </c>
      <c r="C20" s="23">
        <v>54896</v>
      </c>
      <c r="D20" s="22" t="s">
        <v>61</v>
      </c>
      <c r="E20" s="6"/>
      <c r="F20" s="6"/>
      <c r="G20" s="6"/>
      <c r="H20" s="6"/>
      <c r="I20" s="6"/>
      <c r="J20" s="22" t="s">
        <v>322</v>
      </c>
      <c r="K20" s="22" t="s">
        <v>323</v>
      </c>
    </row>
    <row r="21" spans="1:11" ht="15.95" customHeight="1" x14ac:dyDescent="0.25">
      <c r="B21" s="22" t="s">
        <v>62</v>
      </c>
      <c r="C21" s="23">
        <v>343470</v>
      </c>
      <c r="D21" s="22" t="s">
        <v>63</v>
      </c>
      <c r="E21" s="6"/>
      <c r="F21" s="6"/>
      <c r="G21" s="6"/>
      <c r="H21" s="6"/>
      <c r="I21" s="6"/>
      <c r="J21" s="22" t="s">
        <v>324</v>
      </c>
      <c r="K21" s="22" t="s">
        <v>325</v>
      </c>
    </row>
    <row r="22" spans="1:11" ht="15.95" customHeight="1" x14ac:dyDescent="0.25">
      <c r="B22" s="22" t="s">
        <v>64</v>
      </c>
      <c r="C22" s="23">
        <v>347586</v>
      </c>
      <c r="D22" s="22" t="s">
        <v>65</v>
      </c>
      <c r="E22" s="6"/>
      <c r="F22" s="31"/>
      <c r="G22" s="6"/>
      <c r="H22" s="6"/>
      <c r="I22" s="6"/>
      <c r="J22" s="22" t="s">
        <v>326</v>
      </c>
      <c r="K22" s="22" t="s">
        <v>326</v>
      </c>
    </row>
    <row r="23" spans="1:11" ht="15.95" customHeight="1" x14ac:dyDescent="0.25">
      <c r="B23" s="22" t="s">
        <v>66</v>
      </c>
      <c r="C23" s="23">
        <v>355849</v>
      </c>
      <c r="D23" s="22" t="s">
        <v>67</v>
      </c>
      <c r="E23" s="6"/>
      <c r="F23" s="6"/>
      <c r="G23" s="6"/>
      <c r="H23" s="6"/>
      <c r="I23" s="6"/>
      <c r="J23" s="22"/>
      <c r="K23" s="22" t="s">
        <v>327</v>
      </c>
    </row>
    <row r="24" spans="1:11" ht="15.95" customHeight="1" x14ac:dyDescent="0.25">
      <c r="B24" s="22" t="s">
        <v>68</v>
      </c>
      <c r="C24" s="23">
        <v>351948</v>
      </c>
      <c r="D24" s="22" t="s">
        <v>31</v>
      </c>
      <c r="E24" s="6"/>
      <c r="F24" s="6"/>
      <c r="G24" s="6"/>
      <c r="H24" s="6"/>
      <c r="I24" s="6"/>
      <c r="J24" s="22"/>
      <c r="K24" s="22"/>
    </row>
    <row r="25" spans="1:11" ht="15.95" customHeight="1" x14ac:dyDescent="0.25">
      <c r="B25" s="22" t="s">
        <v>69</v>
      </c>
      <c r="C25" s="23">
        <v>317078</v>
      </c>
      <c r="D25" s="22" t="s">
        <v>70</v>
      </c>
      <c r="E25" s="6"/>
      <c r="F25" s="6"/>
      <c r="G25" s="6"/>
      <c r="H25" s="6"/>
      <c r="I25" s="6"/>
      <c r="J25" s="22" t="s">
        <v>328</v>
      </c>
      <c r="K25" s="22" t="s">
        <v>329</v>
      </c>
    </row>
    <row r="26" spans="1:11" ht="15.95" customHeight="1" x14ac:dyDescent="0.25">
      <c r="A26" s="27"/>
      <c r="B26" s="22" t="s">
        <v>71</v>
      </c>
      <c r="C26" s="23">
        <v>358278</v>
      </c>
      <c r="D26" s="22" t="s">
        <v>72</v>
      </c>
      <c r="E26" s="6"/>
      <c r="F26" s="6"/>
      <c r="G26" s="6"/>
      <c r="H26" s="6"/>
      <c r="I26" s="6"/>
      <c r="J26" s="22"/>
      <c r="K26" s="22"/>
    </row>
    <row r="27" spans="1:11" ht="15.95" customHeight="1" x14ac:dyDescent="0.25">
      <c r="B27" s="22" t="s">
        <v>73</v>
      </c>
      <c r="C27" s="23">
        <v>356140</v>
      </c>
      <c r="D27" s="22" t="s">
        <v>74</v>
      </c>
      <c r="E27" s="6"/>
      <c r="F27" s="6"/>
      <c r="G27" s="6"/>
      <c r="H27" s="6"/>
      <c r="I27" s="6"/>
      <c r="J27" s="22"/>
      <c r="K27" s="22" t="s">
        <v>330</v>
      </c>
    </row>
    <row r="28" spans="1:11" ht="15.95" customHeight="1" x14ac:dyDescent="0.25">
      <c r="A28" s="27"/>
      <c r="B28" s="22" t="s">
        <v>75</v>
      </c>
      <c r="C28" s="23">
        <v>331349</v>
      </c>
      <c r="D28" s="22" t="s">
        <v>31</v>
      </c>
      <c r="E28" s="6"/>
      <c r="F28" s="6"/>
      <c r="G28" s="6"/>
      <c r="H28" s="6"/>
      <c r="I28" s="6"/>
      <c r="J28" s="22" t="s">
        <v>331</v>
      </c>
      <c r="K28" s="22" t="s">
        <v>332</v>
      </c>
    </row>
    <row r="29" spans="1:11" ht="15.95" customHeight="1" x14ac:dyDescent="0.25">
      <c r="A29" s="27"/>
      <c r="B29" s="22" t="s">
        <v>76</v>
      </c>
      <c r="C29" s="23">
        <v>353565</v>
      </c>
      <c r="D29" s="22" t="s">
        <v>35</v>
      </c>
      <c r="E29" s="6"/>
      <c r="F29" s="6"/>
      <c r="G29" s="6"/>
      <c r="H29" s="6"/>
      <c r="I29" s="6"/>
      <c r="J29" s="22"/>
      <c r="K29" s="22" t="s">
        <v>333</v>
      </c>
    </row>
    <row r="30" spans="1:11" ht="15.95" customHeight="1" x14ac:dyDescent="0.25">
      <c r="B30" s="22" t="s">
        <v>77</v>
      </c>
      <c r="C30" s="23">
        <v>315703</v>
      </c>
      <c r="D30" s="22" t="s">
        <v>31</v>
      </c>
      <c r="E30" s="6"/>
      <c r="F30" s="6"/>
      <c r="G30" s="6"/>
      <c r="H30" s="6"/>
      <c r="I30" s="6"/>
      <c r="J30" s="22" t="s">
        <v>334</v>
      </c>
      <c r="K30" s="22" t="s">
        <v>335</v>
      </c>
    </row>
    <row r="31" spans="1:11" ht="15.95" customHeight="1" x14ac:dyDescent="0.25">
      <c r="B31" s="22" t="s">
        <v>78</v>
      </c>
      <c r="C31" s="23">
        <v>329014</v>
      </c>
      <c r="D31" s="22" t="s">
        <v>79</v>
      </c>
      <c r="E31" s="6"/>
      <c r="F31" s="6"/>
      <c r="G31" s="6"/>
      <c r="H31" s="6"/>
      <c r="I31" s="6"/>
      <c r="J31" s="22" t="s">
        <v>336</v>
      </c>
      <c r="K31" s="22"/>
    </row>
    <row r="32" spans="1:11" ht="15.95" customHeight="1" x14ac:dyDescent="0.25">
      <c r="B32" s="22" t="s">
        <v>80</v>
      </c>
      <c r="C32" s="23">
        <v>358139</v>
      </c>
      <c r="D32" s="22" t="s">
        <v>31</v>
      </c>
      <c r="E32" s="6"/>
      <c r="F32" s="6"/>
      <c r="G32" s="6"/>
      <c r="H32" s="6"/>
      <c r="I32" s="6"/>
      <c r="J32" s="22"/>
      <c r="K32" s="22"/>
    </row>
    <row r="33" spans="1:11" ht="15.95" customHeight="1" x14ac:dyDescent="0.25">
      <c r="A33" s="27"/>
      <c r="B33" s="22" t="s">
        <v>81</v>
      </c>
      <c r="C33" s="23">
        <v>16664</v>
      </c>
      <c r="D33" s="22" t="s">
        <v>33</v>
      </c>
      <c r="E33" s="6"/>
      <c r="F33" s="6"/>
      <c r="G33" s="6"/>
      <c r="H33" s="6"/>
      <c r="I33" s="6"/>
      <c r="J33" s="22"/>
      <c r="K33" s="22" t="s">
        <v>337</v>
      </c>
    </row>
    <row r="34" spans="1:11" ht="15.95" customHeight="1" x14ac:dyDescent="0.25">
      <c r="B34" s="22" t="s">
        <v>82</v>
      </c>
      <c r="C34" s="23">
        <v>353490</v>
      </c>
      <c r="D34" s="22" t="s">
        <v>83</v>
      </c>
      <c r="E34" s="6"/>
      <c r="F34" s="6"/>
      <c r="G34" s="6"/>
      <c r="H34" s="6"/>
      <c r="I34" s="6"/>
      <c r="J34" s="22" t="s">
        <v>338</v>
      </c>
      <c r="K34" s="22" t="s">
        <v>339</v>
      </c>
    </row>
    <row r="35" spans="1:11" ht="15.95" customHeight="1" x14ac:dyDescent="0.25">
      <c r="B35" s="22" t="s">
        <v>84</v>
      </c>
      <c r="C35" s="23">
        <v>355982</v>
      </c>
      <c r="D35" s="22" t="s">
        <v>85</v>
      </c>
      <c r="E35" s="6"/>
      <c r="F35" s="6"/>
      <c r="G35" s="6"/>
      <c r="H35" s="6"/>
      <c r="I35" s="6"/>
      <c r="J35" s="22"/>
      <c r="K35" s="22"/>
    </row>
    <row r="36" spans="1:11" ht="15.95" customHeight="1" x14ac:dyDescent="0.25">
      <c r="B36" s="22" t="s">
        <v>86</v>
      </c>
      <c r="C36" s="23">
        <v>356386</v>
      </c>
      <c r="D36" s="22" t="s">
        <v>87</v>
      </c>
      <c r="E36" s="6"/>
      <c r="F36" s="6"/>
      <c r="G36" s="6"/>
      <c r="H36" s="6"/>
      <c r="I36" s="6"/>
      <c r="J36" s="22"/>
      <c r="K36" s="22"/>
    </row>
    <row r="37" spans="1:11" ht="15.95" customHeight="1" x14ac:dyDescent="0.25">
      <c r="A37" s="27"/>
      <c r="B37" s="22" t="s">
        <v>88</v>
      </c>
      <c r="C37" s="23">
        <v>354494</v>
      </c>
      <c r="D37" s="22" t="s">
        <v>89</v>
      </c>
      <c r="E37" s="6"/>
      <c r="F37" s="6"/>
      <c r="G37" s="6"/>
      <c r="H37" s="6"/>
      <c r="I37" s="6"/>
      <c r="J37" s="22" t="s">
        <v>340</v>
      </c>
      <c r="K37" s="22" t="s">
        <v>340</v>
      </c>
    </row>
    <row r="38" spans="1:11" ht="15.95" customHeight="1" x14ac:dyDescent="0.25">
      <c r="B38" s="22" t="s">
        <v>90</v>
      </c>
      <c r="C38" s="23">
        <v>351218</v>
      </c>
      <c r="D38" s="22" t="s">
        <v>89</v>
      </c>
      <c r="E38" s="6"/>
      <c r="F38" s="6"/>
      <c r="G38" s="6"/>
      <c r="H38" s="6"/>
      <c r="I38" s="6"/>
      <c r="J38" s="22"/>
      <c r="K38" s="22" t="s">
        <v>341</v>
      </c>
    </row>
    <row r="39" spans="1:11" ht="15.95" customHeight="1" x14ac:dyDescent="0.25">
      <c r="B39" s="22" t="s">
        <v>91</v>
      </c>
      <c r="C39" s="23">
        <v>351066</v>
      </c>
      <c r="D39" s="22" t="s">
        <v>92</v>
      </c>
      <c r="E39" s="6"/>
      <c r="F39" s="6"/>
      <c r="G39" s="6"/>
      <c r="H39" s="6"/>
      <c r="I39" s="6"/>
      <c r="J39" s="22"/>
      <c r="K39" s="22" t="s">
        <v>342</v>
      </c>
    </row>
    <row r="40" spans="1:11" ht="15.95" customHeight="1" x14ac:dyDescent="0.25">
      <c r="A40" s="27"/>
      <c r="B40" s="22" t="s">
        <v>93</v>
      </c>
      <c r="C40" s="23">
        <v>304478</v>
      </c>
      <c r="D40" s="22" t="s">
        <v>94</v>
      </c>
      <c r="E40" s="6"/>
      <c r="F40" s="6"/>
      <c r="G40" s="6"/>
      <c r="H40" s="6"/>
      <c r="I40" s="6"/>
      <c r="J40" s="22" t="s">
        <v>343</v>
      </c>
      <c r="K40" s="22" t="s">
        <v>344</v>
      </c>
    </row>
    <row r="41" spans="1:11" ht="15.95" customHeight="1" x14ac:dyDescent="0.25">
      <c r="B41" s="22" t="s">
        <v>95</v>
      </c>
      <c r="C41" s="23">
        <v>58873</v>
      </c>
      <c r="D41" s="22" t="s">
        <v>47</v>
      </c>
      <c r="E41" s="6"/>
      <c r="F41" s="6"/>
      <c r="G41" s="6"/>
      <c r="H41" s="6"/>
      <c r="I41" s="6"/>
      <c r="J41" s="22" t="s">
        <v>345</v>
      </c>
      <c r="K41" s="22"/>
    </row>
    <row r="42" spans="1:11" ht="15.95" customHeight="1" x14ac:dyDescent="0.25">
      <c r="B42" s="22" t="s">
        <v>96</v>
      </c>
      <c r="C42" s="23">
        <v>320652</v>
      </c>
      <c r="D42" s="22" t="s">
        <v>97</v>
      </c>
      <c r="E42" s="6"/>
      <c r="F42" s="6"/>
      <c r="G42" s="6"/>
      <c r="H42" s="6"/>
      <c r="I42" s="6"/>
      <c r="J42" s="22" t="s">
        <v>346</v>
      </c>
      <c r="K42" s="22" t="s">
        <v>347</v>
      </c>
    </row>
    <row r="43" spans="1:11" ht="15.95" customHeight="1" x14ac:dyDescent="0.25">
      <c r="A43" s="27"/>
      <c r="B43" s="22" t="s">
        <v>98</v>
      </c>
      <c r="C43" s="23">
        <v>17266</v>
      </c>
      <c r="D43" s="22" t="s">
        <v>63</v>
      </c>
      <c r="E43" s="6"/>
      <c r="F43" s="6"/>
      <c r="G43" s="6"/>
      <c r="H43" s="6"/>
      <c r="I43" s="6"/>
      <c r="J43" s="22" t="s">
        <v>348</v>
      </c>
      <c r="K43" s="22" t="s">
        <v>349</v>
      </c>
    </row>
    <row r="44" spans="1:11" ht="15.95" customHeight="1" x14ac:dyDescent="0.25">
      <c r="A44" s="27"/>
      <c r="B44" s="22" t="s">
        <v>99</v>
      </c>
      <c r="C44" s="23">
        <v>358820</v>
      </c>
      <c r="D44" s="22" t="s">
        <v>100</v>
      </c>
      <c r="E44" s="6"/>
      <c r="F44" s="6"/>
      <c r="G44" s="6"/>
      <c r="H44" s="6"/>
      <c r="I44" s="6"/>
      <c r="J44" s="22"/>
      <c r="K44" s="22"/>
    </row>
    <row r="45" spans="1:11" ht="15.95" customHeight="1" x14ac:dyDescent="0.25">
      <c r="A45" s="27"/>
      <c r="B45" s="22" t="s">
        <v>101</v>
      </c>
      <c r="C45" s="23">
        <v>320606</v>
      </c>
      <c r="D45" s="22" t="s">
        <v>102</v>
      </c>
      <c r="E45" s="6"/>
      <c r="F45" s="6"/>
      <c r="G45" s="6"/>
      <c r="H45" s="6"/>
      <c r="I45" s="6"/>
      <c r="J45" s="22" t="s">
        <v>350</v>
      </c>
      <c r="K45" s="22" t="s">
        <v>351</v>
      </c>
    </row>
    <row r="46" spans="1:11" ht="15.95" customHeight="1" x14ac:dyDescent="0.25">
      <c r="A46" s="27"/>
      <c r="B46" s="22" t="s">
        <v>103</v>
      </c>
      <c r="C46" s="23">
        <v>356491</v>
      </c>
      <c r="D46" s="22" t="s">
        <v>104</v>
      </c>
      <c r="E46" s="6"/>
      <c r="F46" s="6"/>
      <c r="G46" s="6"/>
      <c r="H46" s="6"/>
      <c r="I46" s="6"/>
      <c r="J46" s="22"/>
      <c r="K46" s="22"/>
    </row>
    <row r="47" spans="1:11" ht="15.95" customHeight="1" x14ac:dyDescent="0.25">
      <c r="B47" s="22" t="s">
        <v>105</v>
      </c>
      <c r="C47" s="23">
        <v>359623</v>
      </c>
      <c r="D47" s="22" t="s">
        <v>85</v>
      </c>
      <c r="E47" s="6"/>
      <c r="F47" s="6"/>
      <c r="G47" s="6"/>
      <c r="H47" s="6"/>
      <c r="I47" s="6"/>
      <c r="J47" s="22"/>
      <c r="K47" s="22"/>
    </row>
    <row r="48" spans="1:11" ht="15.95" customHeight="1" x14ac:dyDescent="0.25">
      <c r="B48" s="22" t="s">
        <v>106</v>
      </c>
      <c r="C48" s="23">
        <v>12898</v>
      </c>
      <c r="D48" s="22" t="s">
        <v>94</v>
      </c>
      <c r="E48" s="6"/>
      <c r="F48" s="6"/>
      <c r="G48" s="6"/>
      <c r="H48" s="6"/>
      <c r="I48" s="6"/>
      <c r="J48" s="22" t="s">
        <v>352</v>
      </c>
      <c r="K48" s="22" t="s">
        <v>353</v>
      </c>
    </row>
    <row r="49" spans="1:11" ht="15.95" customHeight="1" x14ac:dyDescent="0.25">
      <c r="A49" s="27"/>
      <c r="B49" s="22" t="s">
        <v>107</v>
      </c>
      <c r="C49" s="23">
        <v>356580</v>
      </c>
      <c r="D49" s="22" t="s">
        <v>108</v>
      </c>
      <c r="E49" s="6"/>
      <c r="F49" s="6"/>
      <c r="G49" s="6"/>
      <c r="H49" s="6"/>
      <c r="I49" s="6"/>
      <c r="J49" s="22" t="s">
        <v>354</v>
      </c>
      <c r="K49" s="22" t="s">
        <v>355</v>
      </c>
    </row>
    <row r="50" spans="1:11" ht="15.95" customHeight="1" x14ac:dyDescent="0.25">
      <c r="B50" s="22" t="s">
        <v>109</v>
      </c>
      <c r="C50" s="23">
        <v>11813</v>
      </c>
      <c r="D50" s="22" t="s">
        <v>110</v>
      </c>
      <c r="E50" s="6"/>
      <c r="F50" s="6"/>
      <c r="G50" s="6"/>
      <c r="H50" s="6"/>
      <c r="I50" s="6"/>
      <c r="J50" s="22" t="s">
        <v>356</v>
      </c>
      <c r="K50" s="22" t="s">
        <v>357</v>
      </c>
    </row>
    <row r="51" spans="1:11" ht="15.95" customHeight="1" x14ac:dyDescent="0.25">
      <c r="A51" s="27"/>
      <c r="B51" s="22" t="s">
        <v>111</v>
      </c>
      <c r="C51" s="23">
        <v>352622</v>
      </c>
      <c r="D51" s="22" t="s">
        <v>89</v>
      </c>
      <c r="E51" s="6"/>
      <c r="F51" s="6"/>
      <c r="G51" s="6"/>
      <c r="H51" s="6"/>
      <c r="I51" s="6"/>
      <c r="J51" s="22"/>
      <c r="K51" s="22" t="s">
        <v>358</v>
      </c>
    </row>
    <row r="52" spans="1:11" ht="15.95" customHeight="1" x14ac:dyDescent="0.25">
      <c r="B52" s="22" t="s">
        <v>112</v>
      </c>
      <c r="C52" s="23">
        <v>351794</v>
      </c>
      <c r="D52" s="22" t="s">
        <v>85</v>
      </c>
      <c r="E52" s="6"/>
      <c r="F52" s="6"/>
      <c r="G52" s="6"/>
      <c r="H52" s="6"/>
      <c r="I52" s="6"/>
      <c r="J52" s="22" t="s">
        <v>359</v>
      </c>
      <c r="K52" s="22" t="s">
        <v>360</v>
      </c>
    </row>
    <row r="53" spans="1:11" ht="15.95" customHeight="1" x14ac:dyDescent="0.25">
      <c r="B53" s="22" t="s">
        <v>113</v>
      </c>
      <c r="C53" s="23">
        <v>304950</v>
      </c>
      <c r="D53" s="22" t="s">
        <v>33</v>
      </c>
      <c r="E53" s="6"/>
      <c r="F53" s="6"/>
      <c r="G53" s="6"/>
      <c r="H53" s="6"/>
      <c r="I53" s="6"/>
      <c r="J53" s="22" t="s">
        <v>361</v>
      </c>
      <c r="K53" s="22" t="s">
        <v>362</v>
      </c>
    </row>
    <row r="54" spans="1:11" ht="15.95" customHeight="1" x14ac:dyDescent="0.25">
      <c r="A54" s="27"/>
      <c r="B54" s="22" t="s">
        <v>114</v>
      </c>
      <c r="C54" s="23">
        <v>334105</v>
      </c>
      <c r="D54" s="22" t="s">
        <v>83</v>
      </c>
      <c r="E54" s="6"/>
      <c r="F54" s="6"/>
      <c r="G54" s="6"/>
      <c r="H54" s="6"/>
      <c r="I54" s="6"/>
      <c r="J54" s="22" t="s">
        <v>363</v>
      </c>
      <c r="K54" s="22"/>
    </row>
    <row r="55" spans="1:11" ht="15.95" customHeight="1" x14ac:dyDescent="0.25">
      <c r="A55" s="27"/>
      <c r="B55" s="22" t="s">
        <v>115</v>
      </c>
      <c r="C55" s="23">
        <v>348377</v>
      </c>
      <c r="D55" s="22" t="s">
        <v>116</v>
      </c>
      <c r="E55" s="6"/>
      <c r="F55" s="6"/>
      <c r="G55" s="6"/>
      <c r="H55" s="6"/>
      <c r="I55" s="6"/>
      <c r="J55" s="22" t="s">
        <v>364</v>
      </c>
      <c r="K55" s="22"/>
    </row>
    <row r="56" spans="1:11" ht="15.95" customHeight="1" x14ac:dyDescent="0.25">
      <c r="B56" s="22" t="s">
        <v>117</v>
      </c>
      <c r="C56" s="23">
        <v>351813</v>
      </c>
      <c r="D56" s="22" t="s">
        <v>118</v>
      </c>
      <c r="E56" s="6"/>
      <c r="F56" s="6"/>
      <c r="G56" s="6"/>
      <c r="H56" s="6"/>
      <c r="I56" s="6"/>
      <c r="J56" s="22" t="s">
        <v>365</v>
      </c>
      <c r="K56" s="22" t="s">
        <v>366</v>
      </c>
    </row>
    <row r="57" spans="1:11" ht="15.95" customHeight="1" x14ac:dyDescent="0.25">
      <c r="B57" s="22" t="s">
        <v>119</v>
      </c>
      <c r="C57" s="23">
        <v>353180</v>
      </c>
      <c r="D57" s="22" t="s">
        <v>120</v>
      </c>
      <c r="E57" s="6"/>
      <c r="F57" s="6"/>
      <c r="G57" s="6"/>
      <c r="H57" s="6"/>
      <c r="I57" s="6"/>
      <c r="J57" s="22" t="s">
        <v>367</v>
      </c>
      <c r="K57" s="22"/>
    </row>
    <row r="58" spans="1:11" ht="15.95" customHeight="1" x14ac:dyDescent="0.25">
      <c r="B58" s="22" t="s">
        <v>121</v>
      </c>
      <c r="C58" s="23">
        <v>338781</v>
      </c>
      <c r="D58" s="22" t="s">
        <v>79</v>
      </c>
      <c r="E58" s="6"/>
      <c r="F58" s="6"/>
      <c r="G58" s="6"/>
      <c r="H58" s="6"/>
      <c r="I58" s="6"/>
      <c r="J58" s="22" t="s">
        <v>368</v>
      </c>
      <c r="K58" s="22" t="s">
        <v>369</v>
      </c>
    </row>
    <row r="59" spans="1:11" ht="15.95" customHeight="1" x14ac:dyDescent="0.25">
      <c r="B59" s="22" t="s">
        <v>122</v>
      </c>
      <c r="C59" s="23">
        <v>302224</v>
      </c>
      <c r="D59" s="22" t="s">
        <v>123</v>
      </c>
      <c r="E59" s="6"/>
      <c r="F59" s="6"/>
      <c r="G59" s="6"/>
      <c r="H59" s="6"/>
      <c r="I59" s="6"/>
      <c r="J59" s="22" t="s">
        <v>370</v>
      </c>
      <c r="K59" s="22"/>
    </row>
    <row r="60" spans="1:11" ht="15.95" customHeight="1" x14ac:dyDescent="0.25">
      <c r="B60" s="22" t="s">
        <v>124</v>
      </c>
      <c r="C60" s="23">
        <v>357866</v>
      </c>
      <c r="D60" s="22" t="s">
        <v>35</v>
      </c>
      <c r="E60" s="6"/>
      <c r="F60" s="6"/>
      <c r="G60" s="6"/>
      <c r="H60" s="6"/>
      <c r="I60" s="6"/>
      <c r="J60" s="22"/>
      <c r="K60" s="22"/>
    </row>
    <row r="61" spans="1:11" ht="15.95" customHeight="1" x14ac:dyDescent="0.25">
      <c r="B61" s="22" t="s">
        <v>125</v>
      </c>
      <c r="C61" s="23">
        <v>11874</v>
      </c>
      <c r="D61" s="22" t="s">
        <v>33</v>
      </c>
      <c r="E61" s="6"/>
      <c r="F61" s="6"/>
      <c r="G61" s="6"/>
      <c r="H61" s="6"/>
      <c r="I61" s="6"/>
      <c r="J61" s="22" t="s">
        <v>371</v>
      </c>
      <c r="K61" s="22" t="s">
        <v>372</v>
      </c>
    </row>
    <row r="62" spans="1:11" ht="15.95" customHeight="1" x14ac:dyDescent="0.25">
      <c r="A62" s="27"/>
      <c r="B62" s="22" t="s">
        <v>126</v>
      </c>
      <c r="C62" s="23">
        <v>328944</v>
      </c>
      <c r="D62" s="22" t="s">
        <v>39</v>
      </c>
      <c r="E62" s="6"/>
      <c r="F62" s="6"/>
      <c r="G62" s="6"/>
      <c r="H62" s="6"/>
      <c r="I62" s="6"/>
      <c r="J62" s="22" t="s">
        <v>373</v>
      </c>
      <c r="K62" s="22" t="s">
        <v>374</v>
      </c>
    </row>
    <row r="63" spans="1:11" ht="15.95" customHeight="1" x14ac:dyDescent="0.25">
      <c r="B63" s="22" t="s">
        <v>127</v>
      </c>
      <c r="C63" s="23">
        <v>300196</v>
      </c>
      <c r="D63" s="22" t="s">
        <v>61</v>
      </c>
      <c r="E63" s="6"/>
      <c r="F63" s="6"/>
      <c r="G63" s="6"/>
      <c r="H63" s="6"/>
      <c r="I63" s="6"/>
      <c r="J63" s="22" t="s">
        <v>322</v>
      </c>
      <c r="K63" s="22" t="s">
        <v>375</v>
      </c>
    </row>
    <row r="64" spans="1:11" ht="15.95" customHeight="1" x14ac:dyDescent="0.25">
      <c r="B64" s="22" t="s">
        <v>128</v>
      </c>
      <c r="C64" s="23">
        <v>355298</v>
      </c>
      <c r="D64" s="22" t="s">
        <v>85</v>
      </c>
      <c r="E64" s="6"/>
      <c r="F64" s="6"/>
      <c r="G64" s="6"/>
      <c r="H64" s="6"/>
      <c r="I64" s="6"/>
      <c r="J64" s="22" t="s">
        <v>376</v>
      </c>
      <c r="K64" s="22"/>
    </row>
    <row r="65" spans="1:11" ht="15.95" customHeight="1" x14ac:dyDescent="0.25">
      <c r="B65" s="22" t="s">
        <v>129</v>
      </c>
      <c r="C65" s="23">
        <v>53873</v>
      </c>
      <c r="D65" s="22" t="s">
        <v>53</v>
      </c>
      <c r="E65" s="6"/>
      <c r="F65" s="6"/>
      <c r="G65" s="6"/>
      <c r="H65" s="6"/>
      <c r="I65" s="6"/>
      <c r="J65" s="22" t="s">
        <v>377</v>
      </c>
      <c r="K65" s="22" t="s">
        <v>378</v>
      </c>
    </row>
    <row r="66" spans="1:11" ht="15.95" customHeight="1" x14ac:dyDescent="0.25">
      <c r="B66" s="22" t="s">
        <v>130</v>
      </c>
      <c r="C66" s="23">
        <v>14303</v>
      </c>
      <c r="D66" s="22" t="s">
        <v>110</v>
      </c>
      <c r="E66" s="6"/>
      <c r="F66" s="6"/>
      <c r="G66" s="6"/>
      <c r="H66" s="6"/>
      <c r="I66" s="6"/>
      <c r="J66" s="22" t="s">
        <v>379</v>
      </c>
      <c r="K66" s="22" t="s">
        <v>380</v>
      </c>
    </row>
    <row r="67" spans="1:11" ht="18" customHeight="1" x14ac:dyDescent="0.25">
      <c r="B67" s="22" t="s">
        <v>131</v>
      </c>
      <c r="C67" s="23">
        <v>38562</v>
      </c>
      <c r="D67" s="22" t="s">
        <v>132</v>
      </c>
      <c r="E67" s="6"/>
      <c r="F67" s="6"/>
      <c r="G67" s="6"/>
      <c r="H67" s="6"/>
      <c r="I67" s="6"/>
      <c r="J67" s="22" t="s">
        <v>381</v>
      </c>
      <c r="K67" s="22"/>
    </row>
    <row r="68" spans="1:11" ht="15.95" customHeight="1" x14ac:dyDescent="0.25">
      <c r="B68" s="22" t="s">
        <v>133</v>
      </c>
      <c r="C68" s="23">
        <v>11667</v>
      </c>
      <c r="D68" s="22" t="s">
        <v>134</v>
      </c>
      <c r="E68" s="6"/>
      <c r="F68" s="6"/>
      <c r="G68" s="6"/>
      <c r="H68" s="6"/>
      <c r="I68" s="6"/>
      <c r="J68" s="22" t="s">
        <v>382</v>
      </c>
      <c r="K68" s="22" t="s">
        <v>383</v>
      </c>
    </row>
    <row r="69" spans="1:11" ht="15.95" customHeight="1" x14ac:dyDescent="0.25">
      <c r="A69" s="27"/>
      <c r="B69" s="22" t="s">
        <v>135</v>
      </c>
      <c r="C69" s="23">
        <v>341291</v>
      </c>
      <c r="D69" s="22" t="s">
        <v>31</v>
      </c>
      <c r="E69" s="6"/>
      <c r="F69" s="6"/>
      <c r="G69" s="6"/>
      <c r="H69" s="6"/>
      <c r="I69" s="6"/>
      <c r="J69" s="22" t="s">
        <v>384</v>
      </c>
      <c r="K69" s="22" t="s">
        <v>385</v>
      </c>
    </row>
    <row r="70" spans="1:11" ht="15.95" customHeight="1" x14ac:dyDescent="0.25">
      <c r="B70" s="22" t="s">
        <v>136</v>
      </c>
      <c r="C70" s="23">
        <v>304977</v>
      </c>
      <c r="D70" s="22" t="s">
        <v>137</v>
      </c>
      <c r="E70" s="6"/>
      <c r="F70" s="6"/>
      <c r="G70" s="6"/>
      <c r="H70" s="6"/>
      <c r="I70" s="6"/>
      <c r="J70" s="22"/>
      <c r="K70" s="22"/>
    </row>
    <row r="71" spans="1:11" ht="15.95" customHeight="1" x14ac:dyDescent="0.25">
      <c r="A71" s="27"/>
      <c r="B71" s="22" t="s">
        <v>138</v>
      </c>
      <c r="C71" s="23">
        <v>355036</v>
      </c>
      <c r="D71" s="22" t="s">
        <v>89</v>
      </c>
      <c r="E71" s="6"/>
      <c r="F71" s="6"/>
      <c r="G71" s="6"/>
      <c r="H71" s="6"/>
      <c r="I71" s="6"/>
      <c r="J71" s="22"/>
      <c r="K71" s="22"/>
    </row>
    <row r="72" spans="1:11" ht="15.95" customHeight="1" x14ac:dyDescent="0.25">
      <c r="B72" s="22" t="s">
        <v>139</v>
      </c>
      <c r="C72" s="23">
        <v>353181</v>
      </c>
      <c r="D72" s="22" t="s">
        <v>140</v>
      </c>
      <c r="E72" s="6"/>
      <c r="F72" s="6"/>
      <c r="G72" s="6"/>
      <c r="H72" s="6"/>
      <c r="I72" s="6"/>
      <c r="J72" s="22" t="s">
        <v>386</v>
      </c>
      <c r="K72" s="22"/>
    </row>
    <row r="73" spans="1:11" ht="13.5" customHeight="1" x14ac:dyDescent="0.25">
      <c r="B73" s="22" t="s">
        <v>141</v>
      </c>
      <c r="C73" s="23">
        <v>351802</v>
      </c>
      <c r="D73" s="22" t="s">
        <v>142</v>
      </c>
      <c r="E73" s="6"/>
      <c r="F73" s="6"/>
      <c r="G73" s="6"/>
      <c r="H73" s="6"/>
      <c r="I73" s="6"/>
      <c r="J73" s="22"/>
      <c r="K73" s="22" t="s">
        <v>387</v>
      </c>
    </row>
    <row r="74" spans="1:11" ht="15.95" customHeight="1" x14ac:dyDescent="0.25">
      <c r="B74" s="22" t="s">
        <v>143</v>
      </c>
      <c r="C74" s="23">
        <v>359839</v>
      </c>
      <c r="D74" s="22" t="s">
        <v>144</v>
      </c>
      <c r="E74" s="6"/>
      <c r="F74" s="6"/>
      <c r="G74" s="6"/>
      <c r="H74" s="6"/>
      <c r="I74" s="6"/>
      <c r="J74" s="22"/>
      <c r="K74" s="22"/>
    </row>
    <row r="75" spans="1:11" ht="13.5" customHeight="1" x14ac:dyDescent="0.25">
      <c r="A75" s="27"/>
      <c r="B75" s="22" t="s">
        <v>145</v>
      </c>
      <c r="C75" s="23">
        <v>357069</v>
      </c>
      <c r="D75" s="22" t="s">
        <v>87</v>
      </c>
      <c r="E75" s="6"/>
      <c r="F75" s="6"/>
      <c r="G75" s="6"/>
      <c r="H75" s="6"/>
      <c r="I75" s="6"/>
      <c r="J75" s="22"/>
      <c r="K75" s="22"/>
    </row>
    <row r="76" spans="1:11" ht="15.95" customHeight="1" x14ac:dyDescent="0.25">
      <c r="B76" s="22" t="s">
        <v>146</v>
      </c>
      <c r="C76" s="23">
        <v>348586</v>
      </c>
      <c r="D76" s="22" t="s">
        <v>147</v>
      </c>
      <c r="E76" s="6"/>
      <c r="F76" s="6"/>
      <c r="G76" s="6"/>
      <c r="H76" s="6"/>
      <c r="I76" s="6"/>
      <c r="J76" s="22"/>
      <c r="K76" s="22" t="s">
        <v>388</v>
      </c>
    </row>
    <row r="77" spans="1:11" ht="13.5" customHeight="1" x14ac:dyDescent="0.25">
      <c r="B77" s="22" t="s">
        <v>148</v>
      </c>
      <c r="C77" s="23">
        <v>358637</v>
      </c>
      <c r="D77" s="22" t="s">
        <v>49</v>
      </c>
      <c r="E77" s="6"/>
      <c r="F77" s="6"/>
      <c r="G77" s="6"/>
      <c r="H77" s="6"/>
      <c r="I77" s="6"/>
      <c r="J77" s="22"/>
      <c r="K77" s="22"/>
    </row>
    <row r="78" spans="1:11" ht="15.95" customHeight="1" x14ac:dyDescent="0.25">
      <c r="B78" s="22" t="s">
        <v>149</v>
      </c>
      <c r="C78" s="23">
        <v>346312</v>
      </c>
      <c r="D78" s="22" t="s">
        <v>89</v>
      </c>
      <c r="E78" s="6"/>
      <c r="F78" s="6"/>
      <c r="G78" s="6"/>
      <c r="H78" s="6"/>
      <c r="I78" s="6"/>
      <c r="J78" s="22" t="s">
        <v>389</v>
      </c>
      <c r="K78" s="22" t="s">
        <v>390</v>
      </c>
    </row>
    <row r="79" spans="1:11" ht="15.95" customHeight="1" x14ac:dyDescent="0.25">
      <c r="B79" s="22" t="s">
        <v>150</v>
      </c>
      <c r="C79" s="23">
        <v>35171</v>
      </c>
      <c r="D79" s="22" t="s">
        <v>151</v>
      </c>
      <c r="E79" s="6"/>
      <c r="F79" s="6"/>
      <c r="G79" s="6"/>
      <c r="H79" s="6"/>
      <c r="I79" s="6"/>
      <c r="J79" s="22" t="s">
        <v>391</v>
      </c>
      <c r="K79" s="22" t="s">
        <v>392</v>
      </c>
    </row>
    <row r="80" spans="1:11" ht="15.95" customHeight="1" x14ac:dyDescent="0.25">
      <c r="B80" s="22" t="s">
        <v>152</v>
      </c>
      <c r="C80" s="23">
        <v>304720</v>
      </c>
      <c r="D80" s="22" t="s">
        <v>153</v>
      </c>
      <c r="E80" s="6"/>
      <c r="F80" s="6"/>
      <c r="G80" s="6"/>
      <c r="H80" s="6"/>
      <c r="I80" s="6"/>
      <c r="J80" s="22" t="s">
        <v>393</v>
      </c>
      <c r="K80" s="22"/>
    </row>
    <row r="81" spans="1:11" ht="15.95" customHeight="1" x14ac:dyDescent="0.25">
      <c r="B81" s="22" t="s">
        <v>154</v>
      </c>
      <c r="C81" s="23">
        <v>350684</v>
      </c>
      <c r="D81" s="22" t="s">
        <v>49</v>
      </c>
      <c r="E81" s="6"/>
      <c r="F81" s="6"/>
      <c r="G81" s="6"/>
      <c r="H81" s="6"/>
      <c r="I81" s="6"/>
      <c r="J81" s="22"/>
      <c r="K81" s="22" t="s">
        <v>394</v>
      </c>
    </row>
    <row r="82" spans="1:11" ht="13.5" customHeight="1" x14ac:dyDescent="0.25">
      <c r="B82" s="22" t="s">
        <v>155</v>
      </c>
      <c r="C82" s="23">
        <v>353794</v>
      </c>
      <c r="D82" s="22" t="s">
        <v>156</v>
      </c>
      <c r="E82" s="6"/>
      <c r="F82" s="6"/>
      <c r="G82" s="6"/>
      <c r="H82" s="6"/>
      <c r="I82" s="6"/>
      <c r="J82" s="22" t="s">
        <v>395</v>
      </c>
      <c r="K82" s="22" t="s">
        <v>396</v>
      </c>
    </row>
    <row r="83" spans="1:11" ht="15.95" customHeight="1" x14ac:dyDescent="0.25">
      <c r="A83" s="27"/>
      <c r="B83" s="22" t="s">
        <v>157</v>
      </c>
      <c r="C83" s="23">
        <v>322885</v>
      </c>
      <c r="D83" s="22" t="s">
        <v>123</v>
      </c>
      <c r="E83" s="6"/>
      <c r="F83" s="6"/>
      <c r="G83" s="6"/>
      <c r="H83" s="6"/>
      <c r="I83" s="6"/>
      <c r="J83" s="22"/>
      <c r="K83" s="22" t="s">
        <v>397</v>
      </c>
    </row>
    <row r="84" spans="1:11" ht="15.95" customHeight="1" x14ac:dyDescent="0.25">
      <c r="B84" s="22" t="s">
        <v>158</v>
      </c>
      <c r="C84" s="23">
        <v>359128</v>
      </c>
      <c r="D84" s="22" t="s">
        <v>159</v>
      </c>
      <c r="E84" s="6"/>
      <c r="F84" s="6"/>
      <c r="G84" s="6"/>
      <c r="H84" s="6"/>
      <c r="I84" s="6"/>
      <c r="J84" s="22" t="s">
        <v>398</v>
      </c>
      <c r="K84" s="22" t="s">
        <v>399</v>
      </c>
    </row>
    <row r="85" spans="1:11" ht="13.5" customHeight="1" x14ac:dyDescent="0.25">
      <c r="B85" s="22" t="s">
        <v>160</v>
      </c>
      <c r="C85" s="23">
        <v>349344</v>
      </c>
      <c r="D85" s="22" t="s">
        <v>97</v>
      </c>
      <c r="E85" s="6"/>
      <c r="F85" s="6"/>
      <c r="G85" s="6"/>
      <c r="H85" s="6"/>
      <c r="I85" s="6"/>
      <c r="J85" s="22"/>
      <c r="K85" s="22"/>
    </row>
    <row r="86" spans="1:11" ht="15.95" customHeight="1" x14ac:dyDescent="0.25">
      <c r="B86" s="22" t="s">
        <v>161</v>
      </c>
      <c r="C86" s="23">
        <v>352369</v>
      </c>
      <c r="D86" s="22" t="s">
        <v>31</v>
      </c>
      <c r="E86" s="6"/>
      <c r="F86" s="6"/>
      <c r="G86" s="6"/>
      <c r="H86" s="6"/>
      <c r="I86" s="6"/>
      <c r="J86" s="22" t="s">
        <v>400</v>
      </c>
      <c r="K86" s="22" t="s">
        <v>401</v>
      </c>
    </row>
    <row r="87" spans="1:11" ht="15.95" customHeight="1" x14ac:dyDescent="0.25">
      <c r="B87" s="22" t="s">
        <v>162</v>
      </c>
      <c r="C87" s="23">
        <v>331420</v>
      </c>
      <c r="D87" s="22" t="s">
        <v>163</v>
      </c>
      <c r="E87" s="6"/>
      <c r="F87" s="6"/>
      <c r="G87" s="6"/>
      <c r="H87" s="6"/>
      <c r="I87" s="6"/>
      <c r="J87" s="22" t="s">
        <v>402</v>
      </c>
      <c r="K87" s="22"/>
    </row>
    <row r="88" spans="1:11" ht="15.95" customHeight="1" x14ac:dyDescent="0.25">
      <c r="A88" s="27"/>
      <c r="B88" s="22" t="s">
        <v>164</v>
      </c>
      <c r="C88" s="23">
        <v>302459</v>
      </c>
      <c r="D88" s="22" t="s">
        <v>151</v>
      </c>
      <c r="E88" s="6"/>
      <c r="F88" s="6"/>
      <c r="G88" s="6"/>
      <c r="H88" s="6"/>
      <c r="I88" s="6"/>
      <c r="J88" s="22" t="s">
        <v>403</v>
      </c>
      <c r="K88" s="22" t="s">
        <v>404</v>
      </c>
    </row>
    <row r="89" spans="1:11" ht="15.95" customHeight="1" x14ac:dyDescent="0.25">
      <c r="B89" s="22" t="s">
        <v>165</v>
      </c>
      <c r="C89" s="23">
        <v>358679</v>
      </c>
      <c r="D89" s="22" t="s">
        <v>49</v>
      </c>
      <c r="E89" s="6"/>
      <c r="F89" s="6"/>
      <c r="G89" s="6"/>
      <c r="H89" s="6"/>
      <c r="I89" s="6"/>
      <c r="J89" s="22"/>
      <c r="K89" s="22"/>
    </row>
    <row r="90" spans="1:11" ht="15.95" customHeight="1" x14ac:dyDescent="0.25">
      <c r="A90" s="26"/>
      <c r="B90" s="22" t="s">
        <v>166</v>
      </c>
      <c r="C90" s="23">
        <v>350961</v>
      </c>
      <c r="D90" s="22" t="s">
        <v>79</v>
      </c>
      <c r="E90" s="6"/>
      <c r="F90" s="6"/>
      <c r="G90" s="6"/>
      <c r="H90" s="6"/>
      <c r="I90" s="6"/>
      <c r="J90" s="22"/>
      <c r="K90" s="22" t="s">
        <v>405</v>
      </c>
    </row>
    <row r="91" spans="1:11" ht="15.95" customHeight="1" x14ac:dyDescent="0.25">
      <c r="A91" s="26"/>
      <c r="B91" s="22" t="s">
        <v>167</v>
      </c>
      <c r="C91" s="23">
        <v>337881</v>
      </c>
      <c r="D91" s="22" t="s">
        <v>108</v>
      </c>
      <c r="E91" s="6"/>
      <c r="F91" s="6"/>
      <c r="G91" s="6"/>
      <c r="H91" s="6"/>
      <c r="I91" s="6"/>
      <c r="J91" s="22"/>
      <c r="K91" s="22" t="s">
        <v>406</v>
      </c>
    </row>
    <row r="92" spans="1:11" ht="15.95" customHeight="1" x14ac:dyDescent="0.25">
      <c r="A92" s="27"/>
      <c r="B92" s="22" t="s">
        <v>168</v>
      </c>
      <c r="C92" s="23">
        <v>349873</v>
      </c>
      <c r="D92" s="22" t="s">
        <v>134</v>
      </c>
      <c r="E92" s="6"/>
      <c r="F92" s="6"/>
      <c r="G92" s="6"/>
      <c r="H92" s="6"/>
      <c r="I92" s="6"/>
      <c r="J92" s="22" t="s">
        <v>407</v>
      </c>
      <c r="K92" s="22"/>
    </row>
    <row r="93" spans="1:11" ht="15.95" customHeight="1" x14ac:dyDescent="0.25">
      <c r="A93" s="27"/>
      <c r="B93" s="22" t="s">
        <v>169</v>
      </c>
      <c r="C93" s="23">
        <v>17692</v>
      </c>
      <c r="D93" s="22" t="s">
        <v>35</v>
      </c>
      <c r="E93" s="6"/>
      <c r="F93" s="6"/>
      <c r="G93" s="6"/>
      <c r="H93" s="6"/>
      <c r="I93" s="6"/>
      <c r="J93" s="22" t="s">
        <v>408</v>
      </c>
      <c r="K93" s="22"/>
    </row>
    <row r="94" spans="1:11" ht="15.95" customHeight="1" x14ac:dyDescent="0.25">
      <c r="A94" s="27"/>
      <c r="B94" s="22" t="s">
        <v>170</v>
      </c>
      <c r="C94" s="23">
        <v>353379</v>
      </c>
      <c r="D94" s="22" t="s">
        <v>110</v>
      </c>
      <c r="E94" s="6"/>
      <c r="F94" s="6"/>
      <c r="G94" s="6"/>
      <c r="H94" s="6"/>
      <c r="I94" s="6"/>
      <c r="J94" s="22"/>
      <c r="K94" s="22" t="s">
        <v>409</v>
      </c>
    </row>
    <row r="95" spans="1:11" ht="15.95" customHeight="1" x14ac:dyDescent="0.25">
      <c r="A95" s="27"/>
      <c r="B95" s="22" t="s">
        <v>171</v>
      </c>
      <c r="C95" s="23">
        <v>56763</v>
      </c>
      <c r="D95" s="22" t="s">
        <v>172</v>
      </c>
      <c r="E95" s="6"/>
      <c r="F95" s="6"/>
      <c r="G95" s="6"/>
      <c r="H95" s="6"/>
      <c r="I95" s="6"/>
      <c r="J95" s="22" t="s">
        <v>410</v>
      </c>
      <c r="K95" s="22"/>
    </row>
    <row r="96" spans="1:11" ht="15.95" customHeight="1" x14ac:dyDescent="0.25">
      <c r="B96" s="22" t="s">
        <v>173</v>
      </c>
      <c r="C96" s="23">
        <v>354061</v>
      </c>
      <c r="D96" s="22" t="s">
        <v>151</v>
      </c>
      <c r="E96" s="6"/>
      <c r="F96" s="6"/>
      <c r="G96" s="6"/>
      <c r="H96" s="6"/>
      <c r="I96" s="6"/>
      <c r="J96" s="22"/>
      <c r="K96" s="22" t="s">
        <v>411</v>
      </c>
    </row>
    <row r="97" spans="1:11" ht="15.95" customHeight="1" x14ac:dyDescent="0.25">
      <c r="B97" s="22" t="s">
        <v>174</v>
      </c>
      <c r="C97" s="23">
        <v>303831</v>
      </c>
      <c r="D97" s="22" t="s">
        <v>49</v>
      </c>
      <c r="E97" s="6"/>
      <c r="F97" s="6"/>
      <c r="G97" s="6"/>
      <c r="H97" s="6"/>
      <c r="I97" s="6"/>
      <c r="J97" s="22" t="s">
        <v>412</v>
      </c>
      <c r="K97" s="22" t="s">
        <v>413</v>
      </c>
    </row>
    <row r="98" spans="1:11" ht="15.95" customHeight="1" x14ac:dyDescent="0.25">
      <c r="B98" s="22" t="s">
        <v>175</v>
      </c>
      <c r="C98" s="23">
        <v>328283</v>
      </c>
      <c r="D98" s="22" t="s">
        <v>110</v>
      </c>
      <c r="E98" s="6"/>
      <c r="F98" s="6"/>
      <c r="G98" s="6"/>
      <c r="H98" s="6"/>
      <c r="I98" s="6"/>
      <c r="J98" s="22" t="s">
        <v>414</v>
      </c>
      <c r="K98" s="22"/>
    </row>
    <row r="99" spans="1:11" ht="15.95" customHeight="1" x14ac:dyDescent="0.25">
      <c r="A99" s="27"/>
      <c r="B99" s="22" t="s">
        <v>176</v>
      </c>
      <c r="C99" s="23">
        <v>334977</v>
      </c>
      <c r="D99" s="22" t="s">
        <v>177</v>
      </c>
      <c r="E99" s="6"/>
      <c r="F99" s="6"/>
      <c r="G99" s="6"/>
      <c r="H99" s="6"/>
      <c r="I99" s="6"/>
      <c r="J99" s="22" t="s">
        <v>415</v>
      </c>
      <c r="K99" s="22" t="s">
        <v>416</v>
      </c>
    </row>
    <row r="100" spans="1:11" ht="15.95" customHeight="1" x14ac:dyDescent="0.25">
      <c r="A100" s="27"/>
      <c r="B100" s="22" t="s">
        <v>178</v>
      </c>
      <c r="C100" s="23">
        <v>343393</v>
      </c>
      <c r="D100" s="22" t="s">
        <v>108</v>
      </c>
      <c r="E100" s="6"/>
      <c r="F100" s="6"/>
      <c r="G100" s="6"/>
      <c r="H100" s="6"/>
      <c r="I100" s="6"/>
      <c r="J100" s="22"/>
      <c r="K100" s="22"/>
    </row>
    <row r="101" spans="1:11" ht="15.95" customHeight="1" x14ac:dyDescent="0.25">
      <c r="B101" s="22" t="s">
        <v>179</v>
      </c>
      <c r="C101" s="23">
        <v>356899</v>
      </c>
      <c r="D101" s="22" t="s">
        <v>180</v>
      </c>
      <c r="E101" s="6"/>
      <c r="F101" s="6"/>
      <c r="G101" s="6"/>
      <c r="H101" s="6"/>
      <c r="I101" s="6"/>
      <c r="J101" s="22"/>
      <c r="K101" s="22"/>
    </row>
    <row r="102" spans="1:11" ht="15.95" customHeight="1" x14ac:dyDescent="0.25">
      <c r="B102" s="22" t="s">
        <v>181</v>
      </c>
      <c r="C102" s="23">
        <v>350788</v>
      </c>
      <c r="D102" s="22" t="s">
        <v>65</v>
      </c>
      <c r="E102" s="6"/>
      <c r="F102" s="6"/>
      <c r="G102" s="6"/>
      <c r="H102" s="6"/>
      <c r="I102" s="6"/>
      <c r="J102" s="22"/>
      <c r="K102" s="22"/>
    </row>
    <row r="103" spans="1:11" ht="15.95" customHeight="1" x14ac:dyDescent="0.25">
      <c r="A103" s="27"/>
      <c r="B103" s="22" t="s">
        <v>182</v>
      </c>
      <c r="C103" s="23">
        <v>359744</v>
      </c>
      <c r="D103" s="22" t="s">
        <v>63</v>
      </c>
      <c r="E103" s="6"/>
      <c r="F103" s="6"/>
      <c r="G103" s="6"/>
      <c r="H103" s="6"/>
      <c r="I103" s="6"/>
      <c r="J103" s="22"/>
      <c r="K103" s="22"/>
    </row>
    <row r="104" spans="1:11" ht="15.95" customHeight="1" x14ac:dyDescent="0.25">
      <c r="A104" s="27"/>
      <c r="B104" s="22" t="s">
        <v>183</v>
      </c>
      <c r="C104" s="23">
        <v>355900</v>
      </c>
      <c r="D104" s="22" t="s">
        <v>184</v>
      </c>
      <c r="E104" s="6"/>
      <c r="F104" s="6"/>
      <c r="G104" s="6"/>
      <c r="H104" s="6"/>
      <c r="I104" s="6"/>
      <c r="J104" s="22"/>
      <c r="K104" s="22"/>
    </row>
    <row r="105" spans="1:11" ht="15.95" customHeight="1" x14ac:dyDescent="0.25">
      <c r="A105" s="27"/>
      <c r="B105" s="22" t="s">
        <v>185</v>
      </c>
      <c r="C105" s="23">
        <v>356039</v>
      </c>
      <c r="D105" s="22" t="s">
        <v>151</v>
      </c>
      <c r="E105" s="6"/>
      <c r="F105" s="6"/>
      <c r="G105" s="6"/>
      <c r="H105" s="6"/>
      <c r="I105" s="6"/>
      <c r="J105" s="22"/>
      <c r="K105" s="22" t="s">
        <v>417</v>
      </c>
    </row>
    <row r="106" spans="1:11" ht="15.95" customHeight="1" x14ac:dyDescent="0.25">
      <c r="B106" s="22" t="s">
        <v>186</v>
      </c>
      <c r="C106" s="23">
        <v>347496</v>
      </c>
      <c r="D106" s="22" t="s">
        <v>49</v>
      </c>
      <c r="E106" s="6"/>
      <c r="F106" s="6"/>
      <c r="G106" s="6"/>
      <c r="H106" s="6"/>
      <c r="I106" s="6"/>
      <c r="J106" s="22"/>
      <c r="K106" s="22" t="s">
        <v>418</v>
      </c>
    </row>
    <row r="107" spans="1:11" ht="15.95" customHeight="1" x14ac:dyDescent="0.25">
      <c r="A107" s="27"/>
      <c r="B107" s="22" t="s">
        <v>187</v>
      </c>
      <c r="C107" s="23">
        <v>329519</v>
      </c>
      <c r="D107" s="22" t="s">
        <v>49</v>
      </c>
      <c r="E107" s="6"/>
      <c r="F107" s="6"/>
      <c r="G107" s="6"/>
      <c r="H107" s="6"/>
      <c r="I107" s="6"/>
      <c r="J107" s="22" t="s">
        <v>419</v>
      </c>
      <c r="K107" s="22" t="s">
        <v>420</v>
      </c>
    </row>
    <row r="108" spans="1:11" ht="15.95" customHeight="1" x14ac:dyDescent="0.25">
      <c r="A108" s="27"/>
      <c r="B108" s="22" t="s">
        <v>188</v>
      </c>
      <c r="C108" s="23">
        <v>350887</v>
      </c>
      <c r="D108" s="22" t="s">
        <v>156</v>
      </c>
      <c r="E108" s="6"/>
      <c r="F108" s="6"/>
      <c r="G108" s="6"/>
      <c r="H108" s="6"/>
      <c r="I108" s="6"/>
      <c r="J108" s="22"/>
      <c r="K108" s="22"/>
    </row>
    <row r="109" spans="1:11" ht="15.95" customHeight="1" x14ac:dyDescent="0.25">
      <c r="B109" s="22" t="s">
        <v>189</v>
      </c>
      <c r="C109" s="23">
        <v>59007</v>
      </c>
      <c r="D109" s="22" t="s">
        <v>120</v>
      </c>
      <c r="E109" s="6"/>
      <c r="F109" s="6"/>
      <c r="G109" s="6"/>
      <c r="H109" s="6"/>
      <c r="I109" s="6"/>
      <c r="J109" s="22" t="s">
        <v>421</v>
      </c>
      <c r="K109" s="22" t="s">
        <v>422</v>
      </c>
    </row>
    <row r="110" spans="1:11" ht="15.95" customHeight="1" x14ac:dyDescent="0.25">
      <c r="B110" s="22" t="s">
        <v>190</v>
      </c>
      <c r="C110" s="23">
        <v>316563</v>
      </c>
      <c r="D110" s="22" t="s">
        <v>120</v>
      </c>
      <c r="E110" s="6"/>
      <c r="F110" s="6"/>
      <c r="G110" s="6"/>
      <c r="H110" s="6"/>
      <c r="I110" s="6"/>
      <c r="J110" s="22" t="s">
        <v>423</v>
      </c>
      <c r="K110" s="22"/>
    </row>
    <row r="111" spans="1:11" ht="15.95" customHeight="1" x14ac:dyDescent="0.25">
      <c r="A111" s="27"/>
      <c r="B111" s="22" t="s">
        <v>191</v>
      </c>
      <c r="C111" s="23">
        <v>347490</v>
      </c>
      <c r="D111" s="22" t="s">
        <v>43</v>
      </c>
      <c r="E111" s="6"/>
      <c r="F111" s="6"/>
      <c r="G111" s="6"/>
      <c r="H111" s="6"/>
      <c r="I111" s="6"/>
      <c r="J111" s="22"/>
      <c r="K111" s="22"/>
    </row>
    <row r="112" spans="1:11" ht="15.95" customHeight="1" x14ac:dyDescent="0.25">
      <c r="B112" s="22" t="s">
        <v>192</v>
      </c>
      <c r="C112" s="23">
        <v>15377</v>
      </c>
      <c r="D112" s="22" t="s">
        <v>193</v>
      </c>
      <c r="E112" s="6"/>
      <c r="F112" s="6"/>
      <c r="G112" s="6"/>
      <c r="H112" s="6"/>
      <c r="I112" s="6"/>
      <c r="J112" s="22" t="s">
        <v>424</v>
      </c>
      <c r="K112" s="22"/>
    </row>
    <row r="113" spans="1:11" ht="24.95" customHeight="1" x14ac:dyDescent="0.25">
      <c r="A113" s="27"/>
      <c r="B113" s="22" t="s">
        <v>194</v>
      </c>
      <c r="C113" s="23">
        <v>343666</v>
      </c>
      <c r="D113" s="22" t="s">
        <v>195</v>
      </c>
      <c r="E113" s="6"/>
      <c r="F113" s="6"/>
      <c r="G113" s="6"/>
      <c r="H113" s="6"/>
      <c r="I113" s="6"/>
      <c r="J113" s="22" t="s">
        <v>425</v>
      </c>
      <c r="K113" s="22"/>
    </row>
    <row r="114" spans="1:11" ht="15.95" customHeight="1" x14ac:dyDescent="0.25">
      <c r="B114" s="22" t="s">
        <v>196</v>
      </c>
      <c r="C114" s="23">
        <v>360639</v>
      </c>
      <c r="D114" s="22" t="s">
        <v>197</v>
      </c>
      <c r="E114" s="6"/>
      <c r="F114" s="6"/>
      <c r="G114" s="6"/>
      <c r="H114" s="6"/>
      <c r="I114" s="6"/>
      <c r="J114" s="22" t="s">
        <v>426</v>
      </c>
      <c r="K114" s="22"/>
    </row>
    <row r="115" spans="1:11" ht="15.95" customHeight="1" x14ac:dyDescent="0.25">
      <c r="A115" s="27"/>
      <c r="B115" s="22" t="s">
        <v>198</v>
      </c>
      <c r="C115" s="23">
        <v>356411</v>
      </c>
      <c r="D115" s="22" t="s">
        <v>195</v>
      </c>
      <c r="E115" s="6"/>
      <c r="F115" s="6"/>
      <c r="G115" s="6"/>
      <c r="H115" s="6"/>
      <c r="I115" s="6"/>
      <c r="J115" s="22"/>
      <c r="K115" s="22"/>
    </row>
    <row r="116" spans="1:11" ht="15.95" customHeight="1" x14ac:dyDescent="0.25">
      <c r="B116" s="22" t="s">
        <v>199</v>
      </c>
      <c r="C116" s="23">
        <v>336443</v>
      </c>
      <c r="D116" s="22" t="s">
        <v>200</v>
      </c>
      <c r="E116" s="6"/>
      <c r="F116" s="6"/>
      <c r="G116" s="6"/>
      <c r="H116" s="6"/>
      <c r="I116" s="6"/>
      <c r="J116" s="22" t="s">
        <v>427</v>
      </c>
      <c r="K116" s="22"/>
    </row>
    <row r="117" spans="1:11" ht="15.95" customHeight="1" x14ac:dyDescent="0.25">
      <c r="A117" s="27"/>
      <c r="B117" s="22" t="s">
        <v>201</v>
      </c>
      <c r="C117" s="23">
        <v>359177</v>
      </c>
      <c r="D117" s="22" t="s">
        <v>202</v>
      </c>
      <c r="E117" s="6"/>
      <c r="F117" s="6"/>
      <c r="G117" s="6"/>
      <c r="H117" s="6"/>
      <c r="I117" s="6"/>
      <c r="J117" s="22"/>
      <c r="K117" s="22"/>
    </row>
    <row r="118" spans="1:11" ht="15.95" customHeight="1" x14ac:dyDescent="0.25">
      <c r="B118" s="22" t="s">
        <v>203</v>
      </c>
      <c r="C118" s="23">
        <v>360335</v>
      </c>
      <c r="D118" s="22" t="s">
        <v>100</v>
      </c>
      <c r="E118" s="6"/>
      <c r="F118" s="6"/>
      <c r="G118" s="6"/>
      <c r="H118" s="6"/>
      <c r="I118" s="6"/>
      <c r="J118" s="22"/>
      <c r="K118" s="22"/>
    </row>
    <row r="119" spans="1:11" ht="15.95" customHeight="1" x14ac:dyDescent="0.25">
      <c r="B119" s="22" t="s">
        <v>204</v>
      </c>
      <c r="C119" s="23">
        <v>334127</v>
      </c>
      <c r="D119" s="22" t="s">
        <v>70</v>
      </c>
      <c r="E119" s="6"/>
      <c r="F119" s="6"/>
      <c r="G119" s="6"/>
      <c r="H119" s="6"/>
      <c r="I119" s="6"/>
      <c r="J119" s="22" t="s">
        <v>428</v>
      </c>
      <c r="K119" s="22"/>
    </row>
    <row r="120" spans="1:11" ht="15.95" customHeight="1" x14ac:dyDescent="0.25">
      <c r="A120" s="27"/>
      <c r="B120" s="22" t="s">
        <v>205</v>
      </c>
      <c r="C120" s="23">
        <v>332892</v>
      </c>
      <c r="D120" s="22" t="s">
        <v>116</v>
      </c>
      <c r="E120" s="6"/>
      <c r="F120" s="6"/>
      <c r="G120" s="6"/>
      <c r="H120" s="6"/>
      <c r="I120" s="6"/>
      <c r="J120" s="22"/>
      <c r="K120" s="22"/>
    </row>
    <row r="121" spans="1:11" ht="15.95" customHeight="1" x14ac:dyDescent="0.25">
      <c r="B121" s="22" t="s">
        <v>206</v>
      </c>
      <c r="C121" s="23">
        <v>319108</v>
      </c>
      <c r="D121" s="22" t="s">
        <v>89</v>
      </c>
      <c r="E121" s="6"/>
      <c r="F121" s="6"/>
      <c r="G121" s="6"/>
      <c r="H121" s="6"/>
      <c r="I121" s="6"/>
      <c r="J121" s="22"/>
      <c r="K121" s="22" t="s">
        <v>429</v>
      </c>
    </row>
    <row r="122" spans="1:11" ht="15.95" customHeight="1" x14ac:dyDescent="0.25">
      <c r="A122" s="27"/>
      <c r="B122" s="22" t="s">
        <v>207</v>
      </c>
      <c r="C122" s="23">
        <v>359993</v>
      </c>
      <c r="D122" s="22" t="s">
        <v>208</v>
      </c>
      <c r="E122" s="6"/>
      <c r="F122" s="6"/>
      <c r="G122" s="6"/>
      <c r="H122" s="6"/>
      <c r="I122" s="6"/>
      <c r="J122" s="22"/>
      <c r="K122" s="22"/>
    </row>
    <row r="123" spans="1:11" ht="15.95" customHeight="1" x14ac:dyDescent="0.25">
      <c r="B123" s="22" t="s">
        <v>209</v>
      </c>
      <c r="C123" s="23">
        <v>304514</v>
      </c>
      <c r="D123" s="22" t="s">
        <v>49</v>
      </c>
      <c r="E123" s="6"/>
      <c r="F123" s="6"/>
      <c r="G123" s="6"/>
      <c r="H123" s="6"/>
      <c r="I123" s="6"/>
      <c r="J123" s="22" t="s">
        <v>430</v>
      </c>
      <c r="K123" s="22" t="s">
        <v>431</v>
      </c>
    </row>
    <row r="124" spans="1:11" ht="15.95" customHeight="1" x14ac:dyDescent="0.25">
      <c r="A124" s="27"/>
      <c r="B124" s="22" t="s">
        <v>210</v>
      </c>
      <c r="C124" s="23">
        <v>355924</v>
      </c>
      <c r="D124" s="22" t="s">
        <v>65</v>
      </c>
      <c r="E124" s="6"/>
      <c r="F124" s="6"/>
      <c r="G124" s="6"/>
      <c r="H124" s="6"/>
      <c r="I124" s="6"/>
      <c r="J124" s="22"/>
      <c r="K124" s="22"/>
    </row>
    <row r="125" spans="1:11" ht="15.95" customHeight="1" x14ac:dyDescent="0.25">
      <c r="B125" s="22" t="s">
        <v>211</v>
      </c>
      <c r="C125" s="23">
        <v>331371</v>
      </c>
      <c r="D125" s="22" t="s">
        <v>33</v>
      </c>
      <c r="E125" s="6"/>
      <c r="F125" s="6"/>
      <c r="G125" s="6"/>
      <c r="H125" s="6"/>
      <c r="I125" s="6"/>
      <c r="J125" s="22" t="s">
        <v>432</v>
      </c>
      <c r="K125" s="22"/>
    </row>
    <row r="126" spans="1:11" ht="15.95" customHeight="1" x14ac:dyDescent="0.25">
      <c r="B126" s="22" t="s">
        <v>212</v>
      </c>
      <c r="C126" s="23">
        <v>355605</v>
      </c>
      <c r="D126" s="22" t="s">
        <v>134</v>
      </c>
      <c r="E126" s="6"/>
      <c r="F126" s="6"/>
      <c r="G126" s="6"/>
      <c r="H126" s="6"/>
      <c r="I126" s="6"/>
      <c r="J126" s="22"/>
      <c r="K126" s="22"/>
    </row>
    <row r="127" spans="1:11" ht="15.95" customHeight="1" x14ac:dyDescent="0.25">
      <c r="B127" s="22" t="s">
        <v>213</v>
      </c>
      <c r="C127" s="23">
        <v>343383</v>
      </c>
      <c r="D127" s="22" t="s">
        <v>85</v>
      </c>
      <c r="E127" s="6"/>
      <c r="F127" s="6"/>
      <c r="G127" s="6"/>
      <c r="H127" s="6"/>
      <c r="I127" s="6"/>
      <c r="J127" s="22"/>
      <c r="K127" s="22" t="s">
        <v>433</v>
      </c>
    </row>
    <row r="128" spans="1:11" ht="15.95" customHeight="1" x14ac:dyDescent="0.25">
      <c r="B128" s="22" t="s">
        <v>214</v>
      </c>
      <c r="C128" s="23">
        <v>317179</v>
      </c>
      <c r="D128" s="22" t="s">
        <v>137</v>
      </c>
      <c r="E128" s="6"/>
      <c r="F128" s="6"/>
      <c r="G128" s="6"/>
      <c r="H128" s="6"/>
      <c r="I128" s="6"/>
      <c r="J128" s="22" t="s">
        <v>434</v>
      </c>
      <c r="K128" s="22" t="s">
        <v>435</v>
      </c>
    </row>
    <row r="129" spans="1:11" ht="15.95" customHeight="1" x14ac:dyDescent="0.25">
      <c r="B129" s="22" t="s">
        <v>215</v>
      </c>
      <c r="C129" s="23">
        <v>340778</v>
      </c>
      <c r="D129" s="22" t="s">
        <v>216</v>
      </c>
      <c r="E129" s="6"/>
      <c r="F129" s="6"/>
      <c r="G129" s="6"/>
      <c r="H129" s="6"/>
      <c r="I129" s="6"/>
      <c r="J129" s="22" t="s">
        <v>436</v>
      </c>
      <c r="K129" s="22"/>
    </row>
    <row r="130" spans="1:11" ht="15.95" customHeight="1" x14ac:dyDescent="0.25">
      <c r="B130" s="22" t="s">
        <v>217</v>
      </c>
      <c r="C130" s="23">
        <v>327725</v>
      </c>
      <c r="D130" s="22" t="s">
        <v>218</v>
      </c>
      <c r="E130" s="6"/>
      <c r="F130" s="6"/>
      <c r="G130" s="6"/>
      <c r="H130" s="6"/>
      <c r="I130" s="6"/>
      <c r="J130" s="22" t="s">
        <v>437</v>
      </c>
      <c r="K130" s="22" t="s">
        <v>438</v>
      </c>
    </row>
    <row r="131" spans="1:11" ht="15.95" customHeight="1" x14ac:dyDescent="0.25">
      <c r="B131" s="22" t="s">
        <v>219</v>
      </c>
      <c r="C131" s="23">
        <v>329516</v>
      </c>
      <c r="D131" s="22" t="s">
        <v>35</v>
      </c>
      <c r="E131" s="6"/>
      <c r="F131" s="6"/>
      <c r="G131" s="6"/>
      <c r="H131" s="6"/>
      <c r="I131" s="6"/>
      <c r="J131" s="22" t="s">
        <v>439</v>
      </c>
      <c r="K131" s="22" t="s">
        <v>440</v>
      </c>
    </row>
    <row r="132" spans="1:11" ht="13.5" customHeight="1" x14ac:dyDescent="0.25">
      <c r="B132" s="22" t="s">
        <v>220</v>
      </c>
      <c r="C132" s="23">
        <v>311559</v>
      </c>
      <c r="D132" s="22" t="s">
        <v>89</v>
      </c>
      <c r="E132" s="6"/>
      <c r="F132" s="6"/>
      <c r="G132" s="6"/>
      <c r="H132" s="6"/>
      <c r="I132" s="6"/>
      <c r="J132" s="22" t="s">
        <v>441</v>
      </c>
      <c r="K132" s="22"/>
    </row>
    <row r="133" spans="1:11" ht="15.95" customHeight="1" x14ac:dyDescent="0.25">
      <c r="B133" s="22" t="s">
        <v>221</v>
      </c>
      <c r="C133" s="23">
        <v>341940</v>
      </c>
      <c r="D133" s="22" t="s">
        <v>222</v>
      </c>
      <c r="E133" s="6"/>
      <c r="F133" s="6"/>
      <c r="G133" s="6"/>
      <c r="H133" s="6"/>
      <c r="I133" s="6"/>
      <c r="J133" s="22"/>
      <c r="K133" s="22"/>
    </row>
    <row r="134" spans="1:11" ht="15.95" customHeight="1" x14ac:dyDescent="0.25">
      <c r="A134" s="27"/>
      <c r="B134" s="22" t="s">
        <v>223</v>
      </c>
      <c r="C134" s="23">
        <v>360328</v>
      </c>
      <c r="D134" s="22" t="s">
        <v>85</v>
      </c>
      <c r="E134" s="6"/>
      <c r="F134" s="6"/>
      <c r="G134" s="6"/>
      <c r="H134" s="6"/>
      <c r="I134" s="6"/>
      <c r="J134" s="22"/>
      <c r="K134" s="22"/>
    </row>
    <row r="135" spans="1:11" ht="15.95" customHeight="1" x14ac:dyDescent="0.25">
      <c r="B135" s="22" t="s">
        <v>224</v>
      </c>
      <c r="C135" s="23">
        <v>346197</v>
      </c>
      <c r="D135" s="22" t="s">
        <v>225</v>
      </c>
      <c r="E135" s="6"/>
      <c r="F135" s="6"/>
      <c r="G135" s="6"/>
      <c r="H135" s="6"/>
      <c r="I135" s="6"/>
      <c r="J135" s="22"/>
      <c r="K135" s="22"/>
    </row>
    <row r="136" spans="1:11" ht="15.95" customHeight="1" x14ac:dyDescent="0.25">
      <c r="A136" s="27"/>
      <c r="B136" s="22" t="s">
        <v>226</v>
      </c>
      <c r="C136" s="23">
        <v>58123</v>
      </c>
      <c r="D136" s="22" t="s">
        <v>227</v>
      </c>
      <c r="E136" s="6"/>
      <c r="F136" s="6"/>
      <c r="G136" s="6"/>
      <c r="H136" s="6"/>
      <c r="I136" s="6"/>
      <c r="J136" s="22" t="s">
        <v>442</v>
      </c>
      <c r="K136" s="22"/>
    </row>
    <row r="137" spans="1:11" ht="15.95" customHeight="1" x14ac:dyDescent="0.25">
      <c r="B137" s="22" t="s">
        <v>228</v>
      </c>
      <c r="C137" s="23">
        <v>39127</v>
      </c>
      <c r="D137" s="22" t="s">
        <v>94</v>
      </c>
      <c r="E137" s="6"/>
      <c r="F137" s="6"/>
      <c r="G137" s="6"/>
      <c r="H137" s="6"/>
      <c r="I137" s="6"/>
      <c r="J137" s="22"/>
      <c r="K137" s="22" t="s">
        <v>443</v>
      </c>
    </row>
    <row r="138" spans="1:11" ht="15.95" customHeight="1" x14ac:dyDescent="0.25">
      <c r="B138" s="22" t="s">
        <v>229</v>
      </c>
      <c r="C138" s="23">
        <v>54566</v>
      </c>
      <c r="D138" s="22" t="s">
        <v>63</v>
      </c>
      <c r="E138" s="6"/>
      <c r="F138" s="6"/>
      <c r="G138" s="6"/>
      <c r="H138" s="6"/>
      <c r="I138" s="6"/>
      <c r="J138" s="22" t="s">
        <v>444</v>
      </c>
      <c r="K138" s="22"/>
    </row>
    <row r="139" spans="1:11" ht="15.95" customHeight="1" x14ac:dyDescent="0.25">
      <c r="A139" s="27"/>
      <c r="B139" s="22" t="s">
        <v>230</v>
      </c>
      <c r="C139" s="23">
        <v>359696</v>
      </c>
      <c r="D139" s="22" t="s">
        <v>231</v>
      </c>
      <c r="E139" s="6"/>
      <c r="F139" s="6"/>
      <c r="G139" s="6"/>
      <c r="H139" s="6"/>
      <c r="I139" s="6"/>
      <c r="J139" s="22"/>
      <c r="K139" s="22"/>
    </row>
    <row r="140" spans="1:11" ht="15.95" customHeight="1" x14ac:dyDescent="0.25">
      <c r="B140" s="22" t="s">
        <v>232</v>
      </c>
      <c r="C140" s="23">
        <v>359917</v>
      </c>
      <c r="D140" s="22" t="s">
        <v>233</v>
      </c>
      <c r="E140" s="6"/>
      <c r="F140" s="6"/>
      <c r="G140" s="6"/>
      <c r="H140" s="6"/>
      <c r="I140" s="6"/>
      <c r="J140" s="22"/>
      <c r="K140" s="22"/>
    </row>
    <row r="141" spans="1:11" ht="15.95" customHeight="1" x14ac:dyDescent="0.25">
      <c r="B141" s="22" t="s">
        <v>234</v>
      </c>
      <c r="C141" s="23">
        <v>349826</v>
      </c>
      <c r="D141" s="22" t="s">
        <v>49</v>
      </c>
      <c r="E141" s="6"/>
      <c r="F141" s="6"/>
      <c r="G141" s="6"/>
      <c r="H141" s="6"/>
      <c r="I141" s="6"/>
      <c r="J141" s="22"/>
      <c r="K141" s="22"/>
    </row>
    <row r="142" spans="1:11" ht="15.95" customHeight="1" x14ac:dyDescent="0.25">
      <c r="B142" s="22" t="s">
        <v>235</v>
      </c>
      <c r="C142" s="23">
        <v>355457</v>
      </c>
      <c r="D142" s="22" t="s">
        <v>184</v>
      </c>
      <c r="E142" s="6"/>
      <c r="F142" s="6"/>
      <c r="G142" s="6"/>
      <c r="H142" s="6"/>
      <c r="I142" s="6"/>
      <c r="J142" s="22"/>
      <c r="K142" s="22"/>
    </row>
    <row r="143" spans="1:11" ht="15.95" customHeight="1" x14ac:dyDescent="0.25">
      <c r="B143" s="22" t="s">
        <v>236</v>
      </c>
      <c r="C143" s="23">
        <v>358037</v>
      </c>
      <c r="D143" s="22" t="s">
        <v>31</v>
      </c>
      <c r="E143" s="6"/>
      <c r="F143" s="6"/>
      <c r="G143" s="6"/>
      <c r="H143" s="6"/>
      <c r="I143" s="6"/>
      <c r="J143" s="22"/>
      <c r="K143" s="22"/>
    </row>
    <row r="144" spans="1:11" ht="15.95" customHeight="1" x14ac:dyDescent="0.25">
      <c r="B144" s="22" t="s">
        <v>237</v>
      </c>
      <c r="C144" s="23">
        <v>342388</v>
      </c>
      <c r="D144" s="22" t="s">
        <v>238</v>
      </c>
      <c r="E144" s="6"/>
      <c r="F144" s="6"/>
      <c r="G144" s="6"/>
      <c r="H144" s="6"/>
      <c r="I144" s="6"/>
      <c r="J144" s="22"/>
      <c r="K144" s="22" t="s">
        <v>445</v>
      </c>
    </row>
    <row r="145" spans="1:11" ht="15.95" customHeight="1" x14ac:dyDescent="0.25">
      <c r="B145" s="22" t="s">
        <v>239</v>
      </c>
      <c r="C145" s="23">
        <v>344524</v>
      </c>
      <c r="D145" s="22" t="s">
        <v>31</v>
      </c>
      <c r="E145" s="6"/>
      <c r="F145" s="6"/>
      <c r="G145" s="6"/>
      <c r="H145" s="6"/>
      <c r="I145" s="6"/>
      <c r="J145" s="22"/>
      <c r="K145" s="22"/>
    </row>
    <row r="146" spans="1:11" ht="15.95" customHeight="1" x14ac:dyDescent="0.25">
      <c r="B146" s="22" t="s">
        <v>240</v>
      </c>
      <c r="C146" s="23">
        <v>51644</v>
      </c>
      <c r="D146" s="22" t="s">
        <v>108</v>
      </c>
      <c r="E146" s="6"/>
      <c r="F146" s="6"/>
      <c r="G146" s="6"/>
      <c r="H146" s="6"/>
      <c r="I146" s="6"/>
      <c r="J146" s="22" t="s">
        <v>446</v>
      </c>
      <c r="K146" s="22"/>
    </row>
    <row r="147" spans="1:11" ht="13.5" customHeight="1" x14ac:dyDescent="0.25">
      <c r="A147" s="27"/>
      <c r="B147" s="22" t="s">
        <v>241</v>
      </c>
      <c r="C147" s="23">
        <v>359601</v>
      </c>
      <c r="D147" s="22" t="s">
        <v>63</v>
      </c>
      <c r="E147" s="6"/>
      <c r="F147" s="6"/>
      <c r="G147" s="6"/>
      <c r="H147" s="6"/>
      <c r="I147" s="6"/>
      <c r="J147" s="22"/>
      <c r="K147" s="22"/>
    </row>
    <row r="148" spans="1:11" ht="15.95" customHeight="1" x14ac:dyDescent="0.25">
      <c r="B148" s="22" t="s">
        <v>242</v>
      </c>
      <c r="C148" s="23">
        <v>339737</v>
      </c>
      <c r="D148" s="22" t="s">
        <v>243</v>
      </c>
      <c r="E148" s="6"/>
      <c r="F148" s="6"/>
      <c r="G148" s="6"/>
      <c r="H148" s="6"/>
      <c r="I148" s="6"/>
      <c r="J148" s="22" t="s">
        <v>447</v>
      </c>
      <c r="K148" s="22"/>
    </row>
    <row r="149" spans="1:11" ht="15.95" customHeight="1" x14ac:dyDescent="0.25">
      <c r="A149" s="27"/>
      <c r="B149" s="22" t="s">
        <v>244</v>
      </c>
      <c r="C149" s="23">
        <v>356215</v>
      </c>
      <c r="D149" s="22" t="s">
        <v>108</v>
      </c>
      <c r="E149" s="6"/>
      <c r="F149" s="6"/>
      <c r="G149" s="6"/>
      <c r="H149" s="6"/>
      <c r="I149" s="6"/>
      <c r="J149" s="22"/>
      <c r="K149" s="22"/>
    </row>
    <row r="150" spans="1:11" ht="15.95" customHeight="1" x14ac:dyDescent="0.25">
      <c r="B150" s="22" t="s">
        <v>245</v>
      </c>
      <c r="C150" s="23">
        <v>350011</v>
      </c>
      <c r="D150" s="22" t="s">
        <v>246</v>
      </c>
      <c r="E150" s="6"/>
      <c r="F150" s="6"/>
      <c r="G150" s="6"/>
      <c r="H150" s="6"/>
      <c r="I150" s="6"/>
      <c r="J150" s="22" t="s">
        <v>448</v>
      </c>
      <c r="K150" s="22" t="s">
        <v>449</v>
      </c>
    </row>
    <row r="151" spans="1:11" ht="15.95" customHeight="1" x14ac:dyDescent="0.25">
      <c r="B151" s="22" t="s">
        <v>247</v>
      </c>
      <c r="C151" s="23">
        <v>359222</v>
      </c>
      <c r="D151" s="22" t="s">
        <v>108</v>
      </c>
      <c r="E151" s="6"/>
      <c r="F151" s="6"/>
      <c r="G151" s="6"/>
      <c r="H151" s="6"/>
      <c r="I151" s="6"/>
      <c r="J151" s="22"/>
      <c r="K151" s="22"/>
    </row>
    <row r="152" spans="1:11" ht="15.95" customHeight="1" x14ac:dyDescent="0.25">
      <c r="B152" s="22" t="s">
        <v>248</v>
      </c>
      <c r="C152" s="23">
        <v>358965</v>
      </c>
      <c r="D152" s="22" t="s">
        <v>85</v>
      </c>
      <c r="E152" s="6"/>
      <c r="F152" s="6"/>
      <c r="G152" s="6"/>
      <c r="H152" s="6"/>
      <c r="I152" s="6"/>
      <c r="J152" s="22"/>
      <c r="K152" s="22"/>
    </row>
    <row r="153" spans="1:11" ht="15.95" customHeight="1" x14ac:dyDescent="0.25">
      <c r="B153" s="22" t="s">
        <v>249</v>
      </c>
      <c r="C153" s="23">
        <v>326445</v>
      </c>
      <c r="D153" s="22" t="s">
        <v>70</v>
      </c>
      <c r="E153" s="6"/>
      <c r="F153" s="6"/>
      <c r="G153" s="6"/>
      <c r="H153" s="6"/>
      <c r="I153" s="6"/>
      <c r="J153" s="22" t="s">
        <v>450</v>
      </c>
      <c r="K153" s="22"/>
    </row>
    <row r="154" spans="1:11" ht="15.95" customHeight="1" x14ac:dyDescent="0.25">
      <c r="A154" s="27"/>
      <c r="B154" s="22" t="s">
        <v>250</v>
      </c>
      <c r="C154" s="23">
        <v>355367</v>
      </c>
      <c r="D154" s="22" t="s">
        <v>251</v>
      </c>
      <c r="E154" s="6"/>
      <c r="F154" s="6"/>
      <c r="G154" s="6"/>
      <c r="H154" s="6"/>
      <c r="I154" s="6"/>
      <c r="J154" s="22"/>
      <c r="K154" s="22"/>
    </row>
    <row r="155" spans="1:11" ht="15.95" customHeight="1" x14ac:dyDescent="0.25">
      <c r="B155" s="22" t="s">
        <v>252</v>
      </c>
      <c r="C155" s="23">
        <v>354950</v>
      </c>
      <c r="D155" s="22" t="s">
        <v>253</v>
      </c>
      <c r="E155" s="6"/>
      <c r="F155" s="6"/>
      <c r="G155" s="6"/>
      <c r="H155" s="6"/>
      <c r="I155" s="6"/>
      <c r="J155" s="22"/>
      <c r="K155" s="22"/>
    </row>
    <row r="156" spans="1:11" ht="15.95" customHeight="1" x14ac:dyDescent="0.25">
      <c r="A156" s="27"/>
      <c r="B156" s="22" t="s">
        <v>254</v>
      </c>
      <c r="C156" s="23">
        <v>355335</v>
      </c>
      <c r="D156" s="22" t="s">
        <v>49</v>
      </c>
      <c r="E156" s="6"/>
      <c r="F156" s="6"/>
      <c r="G156" s="6"/>
      <c r="H156" s="6"/>
      <c r="I156" s="6"/>
      <c r="J156" s="22" t="s">
        <v>451</v>
      </c>
      <c r="K156" s="22"/>
    </row>
    <row r="157" spans="1:11" ht="15.95" customHeight="1" x14ac:dyDescent="0.25">
      <c r="B157" s="22" t="s">
        <v>255</v>
      </c>
      <c r="C157" s="23">
        <v>351489</v>
      </c>
      <c r="D157" s="22" t="s">
        <v>108</v>
      </c>
      <c r="E157" s="6"/>
      <c r="F157" s="6"/>
      <c r="G157" s="6"/>
      <c r="H157" s="6"/>
      <c r="I157" s="6"/>
      <c r="J157" s="22"/>
      <c r="K157" s="22"/>
    </row>
    <row r="158" spans="1:11" ht="13.5" customHeight="1" x14ac:dyDescent="0.25">
      <c r="B158" s="22" t="s">
        <v>256</v>
      </c>
      <c r="C158" s="23">
        <v>359663</v>
      </c>
      <c r="D158" s="22" t="s">
        <v>61</v>
      </c>
      <c r="E158" s="6"/>
      <c r="F158" s="6"/>
      <c r="G158" s="6"/>
      <c r="H158" s="6"/>
      <c r="I158" s="6"/>
      <c r="J158" s="22"/>
      <c r="K158" s="22"/>
    </row>
    <row r="159" spans="1:11" ht="13.5" customHeight="1" x14ac:dyDescent="0.25">
      <c r="B159" s="22" t="s">
        <v>257</v>
      </c>
      <c r="C159" s="23">
        <v>316748</v>
      </c>
      <c r="D159" s="22" t="s">
        <v>49</v>
      </c>
      <c r="E159" s="6"/>
      <c r="F159" s="6"/>
      <c r="G159" s="6"/>
      <c r="H159" s="6"/>
      <c r="I159" s="6"/>
      <c r="J159" s="22"/>
      <c r="K159" s="22" t="s">
        <v>452</v>
      </c>
    </row>
    <row r="160" spans="1:11" ht="15.95" customHeight="1" x14ac:dyDescent="0.25">
      <c r="B160" s="22" t="s">
        <v>258</v>
      </c>
      <c r="C160" s="23">
        <v>356193</v>
      </c>
      <c r="D160" s="22" t="s">
        <v>259</v>
      </c>
      <c r="E160" s="6"/>
      <c r="F160" s="6"/>
      <c r="G160" s="6"/>
      <c r="H160" s="6"/>
      <c r="I160" s="6"/>
      <c r="J160" s="22" t="s">
        <v>453</v>
      </c>
      <c r="K160" s="22"/>
    </row>
    <row r="161" spans="1:11" ht="15.95" customHeight="1" x14ac:dyDescent="0.25">
      <c r="B161" s="22" t="s">
        <v>260</v>
      </c>
      <c r="C161" s="23">
        <v>359916</v>
      </c>
      <c r="D161" s="22" t="s">
        <v>261</v>
      </c>
      <c r="E161" s="6"/>
      <c r="F161" s="6"/>
      <c r="G161" s="6"/>
      <c r="H161" s="6"/>
      <c r="I161" s="6"/>
      <c r="J161" s="22"/>
      <c r="K161" s="22"/>
    </row>
    <row r="162" spans="1:11" ht="13.5" customHeight="1" x14ac:dyDescent="0.25">
      <c r="B162" s="22" t="s">
        <v>262</v>
      </c>
      <c r="C162" s="23">
        <v>359706</v>
      </c>
      <c r="D162" s="22" t="s">
        <v>151</v>
      </c>
      <c r="E162" s="6"/>
      <c r="F162" s="6"/>
      <c r="G162" s="6"/>
      <c r="H162" s="6"/>
      <c r="I162" s="6"/>
      <c r="J162" s="22"/>
      <c r="K162" s="22"/>
    </row>
    <row r="163" spans="1:11" ht="15.95" customHeight="1" x14ac:dyDescent="0.25">
      <c r="B163" s="22" t="s">
        <v>263</v>
      </c>
      <c r="C163" s="23">
        <v>330889</v>
      </c>
      <c r="D163" s="22" t="s">
        <v>108</v>
      </c>
      <c r="E163" s="6"/>
      <c r="F163" s="6"/>
      <c r="G163" s="6"/>
      <c r="H163" s="6"/>
      <c r="I163" s="6"/>
      <c r="J163" s="22" t="s">
        <v>454</v>
      </c>
      <c r="K163" s="22"/>
    </row>
    <row r="164" spans="1:11" ht="15.95" customHeight="1" x14ac:dyDescent="0.25">
      <c r="A164" s="27"/>
      <c r="B164" s="22" t="s">
        <v>264</v>
      </c>
      <c r="C164" s="23">
        <v>359918</v>
      </c>
      <c r="D164" s="22" t="s">
        <v>100</v>
      </c>
      <c r="E164" s="6"/>
      <c r="F164" s="6"/>
      <c r="G164" s="6"/>
      <c r="H164" s="6"/>
      <c r="I164" s="6"/>
      <c r="J164" s="22"/>
      <c r="K164" s="22"/>
    </row>
    <row r="165" spans="1:11" ht="15.95" customHeight="1" x14ac:dyDescent="0.25">
      <c r="A165" s="27"/>
      <c r="B165" s="22" t="s">
        <v>265</v>
      </c>
      <c r="C165" s="23">
        <v>353135</v>
      </c>
      <c r="D165" s="22" t="s">
        <v>33</v>
      </c>
      <c r="E165" s="6"/>
      <c r="F165" s="6"/>
      <c r="G165" s="6"/>
      <c r="H165" s="6"/>
      <c r="I165" s="6"/>
      <c r="J165" s="22" t="s">
        <v>455</v>
      </c>
      <c r="K165" s="22"/>
    </row>
    <row r="166" spans="1:11" ht="15.95" customHeight="1" x14ac:dyDescent="0.25">
      <c r="B166" s="22" t="s">
        <v>266</v>
      </c>
      <c r="C166" s="23">
        <v>358453</v>
      </c>
      <c r="D166" s="22" t="s">
        <v>108</v>
      </c>
      <c r="E166" s="6"/>
      <c r="F166" s="6"/>
      <c r="G166" s="6"/>
      <c r="H166" s="6"/>
      <c r="I166" s="6"/>
      <c r="J166" s="22"/>
      <c r="K166" s="22"/>
    </row>
    <row r="167" spans="1:11" ht="15.95" customHeight="1" x14ac:dyDescent="0.25">
      <c r="B167" s="22" t="s">
        <v>267</v>
      </c>
      <c r="C167" s="23">
        <v>354472</v>
      </c>
      <c r="D167" s="22" t="s">
        <v>97</v>
      </c>
      <c r="E167" s="6"/>
      <c r="F167" s="6"/>
      <c r="G167" s="6"/>
      <c r="H167" s="6"/>
      <c r="I167" s="6"/>
      <c r="J167" s="22"/>
      <c r="K167" s="22"/>
    </row>
    <row r="168" spans="1:11" ht="15.95" customHeight="1" x14ac:dyDescent="0.25">
      <c r="B168" s="22" t="s">
        <v>268</v>
      </c>
      <c r="C168" s="23">
        <v>334437</v>
      </c>
      <c r="D168" s="22" t="s">
        <v>47</v>
      </c>
      <c r="E168" s="6"/>
      <c r="F168" s="6"/>
      <c r="G168" s="6"/>
      <c r="H168" s="6"/>
      <c r="I168" s="6"/>
      <c r="J168" s="22" t="s">
        <v>456</v>
      </c>
      <c r="K168" s="22"/>
    </row>
    <row r="169" spans="1:11" ht="15.95" customHeight="1" x14ac:dyDescent="0.25">
      <c r="B169" s="22" t="s">
        <v>269</v>
      </c>
      <c r="C169" s="23">
        <v>350736</v>
      </c>
      <c r="D169" s="22" t="s">
        <v>270</v>
      </c>
      <c r="E169" s="6"/>
      <c r="F169" s="6"/>
      <c r="G169" s="6"/>
      <c r="H169" s="6"/>
      <c r="I169" s="6"/>
      <c r="J169" s="22"/>
      <c r="K169" s="22" t="s">
        <v>457</v>
      </c>
    </row>
    <row r="170" spans="1:11" ht="15.95" customHeight="1" x14ac:dyDescent="0.25">
      <c r="B170" s="22" t="s">
        <v>271</v>
      </c>
      <c r="C170" s="23">
        <v>351329</v>
      </c>
      <c r="D170" s="22" t="s">
        <v>272</v>
      </c>
      <c r="E170" s="6"/>
      <c r="F170" s="6"/>
      <c r="G170" s="6"/>
      <c r="H170" s="6"/>
      <c r="I170" s="6"/>
      <c r="J170" s="22"/>
      <c r="K170" s="22"/>
    </row>
    <row r="171" spans="1:11" ht="15.95" customHeight="1" x14ac:dyDescent="0.25">
      <c r="A171" s="27"/>
      <c r="B171" s="22" t="s">
        <v>273</v>
      </c>
      <c r="C171" s="23">
        <v>355515</v>
      </c>
      <c r="D171" s="22" t="s">
        <v>65</v>
      </c>
      <c r="E171" s="6"/>
      <c r="F171" s="6"/>
      <c r="G171" s="6"/>
      <c r="H171" s="6"/>
      <c r="I171" s="6"/>
      <c r="J171" s="22"/>
      <c r="K171" s="22" t="s">
        <v>458</v>
      </c>
    </row>
    <row r="172" spans="1:11" ht="15.95" customHeight="1" x14ac:dyDescent="0.25">
      <c r="A172" s="27"/>
      <c r="B172" s="22" t="s">
        <v>274</v>
      </c>
      <c r="C172" s="23">
        <v>359737</v>
      </c>
      <c r="D172" s="22" t="s">
        <v>208</v>
      </c>
      <c r="E172" s="6"/>
      <c r="F172" s="6"/>
      <c r="G172" s="6"/>
      <c r="H172" s="6"/>
      <c r="I172" s="6"/>
      <c r="J172" s="22"/>
      <c r="K172" s="22"/>
    </row>
    <row r="173" spans="1:11" ht="15.95" customHeight="1" x14ac:dyDescent="0.25">
      <c r="B173" s="22" t="s">
        <v>275</v>
      </c>
      <c r="C173" s="23">
        <v>356590</v>
      </c>
      <c r="D173" s="22" t="s">
        <v>276</v>
      </c>
      <c r="E173" s="6"/>
      <c r="F173" s="6"/>
      <c r="G173" s="6"/>
      <c r="H173" s="6"/>
      <c r="I173" s="6"/>
      <c r="J173" s="22"/>
      <c r="K173" s="22"/>
    </row>
    <row r="174" spans="1:11" ht="15.95" customHeight="1" x14ac:dyDescent="0.25">
      <c r="A174" s="27"/>
      <c r="B174" s="22" t="s">
        <v>277</v>
      </c>
      <c r="C174" s="23">
        <v>355514</v>
      </c>
      <c r="D174" s="22" t="s">
        <v>233</v>
      </c>
      <c r="E174" s="6"/>
      <c r="F174" s="6"/>
      <c r="G174" s="6"/>
      <c r="H174" s="6"/>
      <c r="I174" s="6"/>
      <c r="J174" s="22"/>
      <c r="K174" s="22"/>
    </row>
    <row r="175" spans="1:11" ht="15.95" customHeight="1" x14ac:dyDescent="0.25">
      <c r="A175" s="27"/>
      <c r="B175" s="22" t="s">
        <v>278</v>
      </c>
      <c r="C175" s="23">
        <v>351079</v>
      </c>
      <c r="D175" s="22" t="s">
        <v>65</v>
      </c>
      <c r="E175" s="6"/>
      <c r="F175" s="6"/>
      <c r="G175" s="6"/>
      <c r="H175" s="6"/>
      <c r="I175" s="6"/>
      <c r="J175" s="22" t="s">
        <v>459</v>
      </c>
      <c r="K175" s="22"/>
    </row>
    <row r="176" spans="1:11" ht="15.95" customHeight="1" x14ac:dyDescent="0.25">
      <c r="A176" s="27"/>
      <c r="B176" s="22" t="s">
        <v>279</v>
      </c>
      <c r="C176" s="23">
        <v>351894</v>
      </c>
      <c r="D176" s="22" t="s">
        <v>123</v>
      </c>
      <c r="E176" s="6"/>
      <c r="F176" s="6"/>
      <c r="G176" s="6"/>
      <c r="H176" s="6"/>
      <c r="I176" s="6"/>
      <c r="J176" s="22"/>
      <c r="K176" s="22"/>
    </row>
    <row r="177" spans="1:11" ht="15.95" customHeight="1" x14ac:dyDescent="0.25">
      <c r="A177" s="27"/>
      <c r="B177" s="22" t="s">
        <v>280</v>
      </c>
      <c r="C177" s="23">
        <v>359953</v>
      </c>
      <c r="D177" s="22" t="s">
        <v>67</v>
      </c>
      <c r="E177" s="6"/>
      <c r="F177" s="6"/>
      <c r="G177" s="6"/>
      <c r="H177" s="6"/>
      <c r="I177" s="6"/>
      <c r="J177" s="22"/>
      <c r="K177" s="22"/>
    </row>
    <row r="178" spans="1:11" ht="15.95" customHeight="1" x14ac:dyDescent="0.25">
      <c r="B178" s="22" t="s">
        <v>281</v>
      </c>
      <c r="C178" s="23">
        <v>358279</v>
      </c>
      <c r="D178" s="22" t="s">
        <v>67</v>
      </c>
      <c r="E178" s="6"/>
      <c r="F178" s="6"/>
      <c r="G178" s="6"/>
      <c r="H178" s="6"/>
      <c r="I178" s="6"/>
      <c r="J178" s="22"/>
      <c r="K178" s="22"/>
    </row>
    <row r="179" spans="1:11" ht="15.95" customHeight="1" x14ac:dyDescent="0.25">
      <c r="A179" s="27"/>
      <c r="B179" s="22" t="s">
        <v>282</v>
      </c>
      <c r="C179" s="23">
        <v>356787</v>
      </c>
      <c r="D179" s="22" t="s">
        <v>108</v>
      </c>
      <c r="E179" s="6"/>
      <c r="F179" s="6"/>
      <c r="G179" s="6"/>
      <c r="H179" s="6"/>
      <c r="I179" s="6"/>
      <c r="J179" s="22"/>
      <c r="K179" s="22"/>
    </row>
    <row r="180" spans="1:11" ht="15.95" customHeight="1" x14ac:dyDescent="0.25">
      <c r="B180" s="22" t="s">
        <v>283</v>
      </c>
      <c r="C180" s="23">
        <v>38426</v>
      </c>
      <c r="D180" s="22" t="s">
        <v>35</v>
      </c>
      <c r="E180" s="6"/>
      <c r="F180" s="6"/>
      <c r="G180" s="6"/>
      <c r="H180" s="6"/>
      <c r="I180" s="6"/>
      <c r="J180" s="22" t="s">
        <v>460</v>
      </c>
      <c r="K180" s="22"/>
    </row>
    <row r="181" spans="1:11" ht="15.95" customHeight="1" x14ac:dyDescent="0.25">
      <c r="B181" s="22" t="s">
        <v>284</v>
      </c>
      <c r="C181" s="23">
        <v>17092</v>
      </c>
      <c r="D181" s="22" t="s">
        <v>31</v>
      </c>
      <c r="E181" s="6"/>
      <c r="F181" s="6"/>
      <c r="G181" s="6"/>
      <c r="H181" s="6"/>
      <c r="I181" s="6"/>
      <c r="J181" s="22" t="s">
        <v>461</v>
      </c>
      <c r="K181" s="22"/>
    </row>
    <row r="182" spans="1:11" ht="15.95" customHeight="1" x14ac:dyDescent="0.25">
      <c r="B182" s="22" t="s">
        <v>285</v>
      </c>
      <c r="C182" s="23">
        <v>38929</v>
      </c>
      <c r="D182" s="22" t="s">
        <v>110</v>
      </c>
      <c r="E182" s="6"/>
      <c r="F182" s="6"/>
      <c r="G182" s="6"/>
      <c r="H182" s="6"/>
      <c r="I182" s="6"/>
      <c r="J182" s="22" t="s">
        <v>462</v>
      </c>
      <c r="K182" s="22"/>
    </row>
    <row r="183" spans="1:11" ht="13.5" customHeight="1" x14ac:dyDescent="0.25">
      <c r="B183" s="22" t="s">
        <v>286</v>
      </c>
      <c r="C183" s="23">
        <v>17288</v>
      </c>
      <c r="D183" s="22" t="s">
        <v>287</v>
      </c>
      <c r="E183" s="6"/>
      <c r="F183" s="6"/>
      <c r="G183" s="6"/>
      <c r="H183" s="6"/>
      <c r="I183" s="6"/>
      <c r="J183" s="22" t="s">
        <v>463</v>
      </c>
      <c r="K183" s="22" t="s">
        <v>464</v>
      </c>
    </row>
    <row r="184" spans="1:11" ht="15.95" customHeight="1" x14ac:dyDescent="0.25">
      <c r="A184" s="27"/>
      <c r="B184" s="22" t="s">
        <v>288</v>
      </c>
      <c r="C184" s="23">
        <v>360851</v>
      </c>
      <c r="D184" s="22" t="s">
        <v>134</v>
      </c>
      <c r="E184" s="6"/>
      <c r="F184" s="6"/>
      <c r="G184" s="6"/>
      <c r="H184" s="6"/>
      <c r="I184" s="6"/>
      <c r="J184" s="22"/>
      <c r="K184" s="22"/>
    </row>
    <row r="185" spans="1:11" ht="15.95" customHeight="1" x14ac:dyDescent="0.25">
      <c r="A185" s="27"/>
      <c r="B185" s="22" t="s">
        <v>289</v>
      </c>
      <c r="C185" s="23">
        <v>360270</v>
      </c>
      <c r="D185" s="22" t="s">
        <v>290</v>
      </c>
      <c r="E185" s="6"/>
      <c r="F185" s="6"/>
      <c r="G185" s="6"/>
      <c r="H185" s="6"/>
      <c r="I185" s="6"/>
      <c r="J185" s="22"/>
      <c r="K185" s="22"/>
    </row>
    <row r="186" spans="1:11" ht="15.95" customHeight="1" x14ac:dyDescent="0.25">
      <c r="A186" s="27"/>
      <c r="E186" s="6"/>
      <c r="F186" s="6"/>
      <c r="G186" s="6"/>
      <c r="H186" s="6"/>
      <c r="I186" s="6"/>
    </row>
    <row r="187" spans="1:11" ht="15.95" customHeight="1" x14ac:dyDescent="0.25">
      <c r="E187" s="6"/>
      <c r="F187" s="6"/>
      <c r="G187" s="6"/>
      <c r="H187" s="6"/>
      <c r="I187" s="6"/>
    </row>
    <row r="188" spans="1:11" ht="15.95" customHeight="1" x14ac:dyDescent="0.25">
      <c r="E188" s="6"/>
      <c r="F188" s="6"/>
      <c r="G188" s="6"/>
      <c r="H188" s="6"/>
      <c r="I188" s="6"/>
    </row>
    <row r="189" spans="1:11" ht="15.95" customHeight="1" x14ac:dyDescent="0.25">
      <c r="A189" s="26"/>
      <c r="E189" s="6"/>
      <c r="F189" s="6"/>
      <c r="G189" s="6"/>
      <c r="H189" s="6"/>
      <c r="I189" s="6"/>
    </row>
    <row r="190" spans="1:11" ht="15.95" customHeight="1" x14ac:dyDescent="0.25">
      <c r="E190" s="6"/>
      <c r="F190" s="6"/>
      <c r="G190" s="6"/>
      <c r="H190" s="6"/>
      <c r="I190" s="6"/>
    </row>
    <row r="191" spans="1:11" ht="15.95" customHeight="1" x14ac:dyDescent="0.25">
      <c r="E191" s="6"/>
      <c r="F191" s="6"/>
      <c r="G191" s="6"/>
      <c r="H191" s="6"/>
      <c r="I191" s="6"/>
    </row>
    <row r="192" spans="1:11" ht="15.95" customHeight="1" x14ac:dyDescent="0.25">
      <c r="A192" s="27"/>
      <c r="E192" s="6"/>
      <c r="F192" s="6"/>
      <c r="G192" s="6"/>
      <c r="H192" s="6"/>
      <c r="I192" s="6"/>
    </row>
    <row r="193" spans="1:9" ht="15.95" customHeight="1" x14ac:dyDescent="0.25">
      <c r="E193" s="6"/>
      <c r="F193" s="6"/>
      <c r="G193" s="6"/>
      <c r="H193" s="6"/>
      <c r="I193" s="6"/>
    </row>
    <row r="194" spans="1:9" ht="15.95" customHeight="1" x14ac:dyDescent="0.25">
      <c r="E194" s="6"/>
      <c r="F194" s="6"/>
      <c r="G194" s="6"/>
      <c r="H194" s="6"/>
      <c r="I194" s="6"/>
    </row>
    <row r="195" spans="1:9" ht="15.95" customHeight="1" x14ac:dyDescent="0.25">
      <c r="A195" s="27"/>
      <c r="E195" s="6"/>
      <c r="F195" s="6"/>
      <c r="G195" s="6"/>
      <c r="H195" s="6"/>
      <c r="I195" s="6"/>
    </row>
    <row r="196" spans="1:9" ht="15.95" customHeight="1" x14ac:dyDescent="0.25">
      <c r="E196" s="6"/>
      <c r="F196" s="6"/>
      <c r="G196" s="6"/>
      <c r="H196" s="6"/>
      <c r="I196" s="6"/>
    </row>
    <row r="197" spans="1:9" ht="15.95" customHeight="1" x14ac:dyDescent="0.25">
      <c r="E197" s="6"/>
      <c r="F197" s="6"/>
      <c r="G197" s="6"/>
      <c r="H197" s="6"/>
      <c r="I197" s="6"/>
    </row>
    <row r="198" spans="1:9" ht="15.95" customHeight="1" x14ac:dyDescent="0.25">
      <c r="E198" s="6"/>
      <c r="F198" s="6"/>
      <c r="G198" s="6"/>
      <c r="H198" s="6"/>
      <c r="I198" s="6"/>
    </row>
    <row r="199" spans="1:9" ht="15.95" customHeight="1" x14ac:dyDescent="0.25">
      <c r="E199" s="6"/>
      <c r="F199" s="6"/>
      <c r="G199" s="6"/>
      <c r="H199" s="6"/>
      <c r="I199" s="6"/>
    </row>
    <row r="200" spans="1:9" ht="15.95" customHeight="1" x14ac:dyDescent="0.25">
      <c r="E200" s="6"/>
      <c r="F200" s="6"/>
      <c r="G200" s="6"/>
      <c r="H200" s="6"/>
      <c r="I200" s="6"/>
    </row>
    <row r="201" spans="1:9" ht="15.95" customHeight="1" x14ac:dyDescent="0.25">
      <c r="A201" s="27"/>
      <c r="E201" s="6"/>
      <c r="F201" s="6"/>
      <c r="G201" s="6"/>
      <c r="H201" s="6"/>
      <c r="I201" s="6"/>
    </row>
    <row r="202" spans="1:9" ht="15.95" customHeight="1" x14ac:dyDescent="0.25">
      <c r="A202" s="27"/>
      <c r="E202" s="6"/>
      <c r="F202" s="6"/>
      <c r="G202" s="6"/>
      <c r="H202" s="6"/>
      <c r="I202" s="6"/>
    </row>
    <row r="203" spans="1:9" ht="15.95" customHeight="1" x14ac:dyDescent="0.25">
      <c r="A203" s="27"/>
      <c r="E203" s="6"/>
      <c r="F203" s="6"/>
      <c r="G203" s="6"/>
      <c r="H203" s="6"/>
      <c r="I203" s="6"/>
    </row>
    <row r="204" spans="1:9" ht="15.95" customHeight="1" x14ac:dyDescent="0.25">
      <c r="E204" s="6"/>
      <c r="F204" s="6"/>
      <c r="G204" s="6"/>
      <c r="H204" s="6"/>
      <c r="I204" s="6"/>
    </row>
    <row r="205" spans="1:9" ht="15.95" customHeight="1" x14ac:dyDescent="0.25">
      <c r="A205" s="27"/>
      <c r="E205" s="6"/>
      <c r="F205" s="6"/>
      <c r="G205" s="6"/>
      <c r="H205" s="6"/>
      <c r="I205" s="6"/>
    </row>
    <row r="206" spans="1:9" ht="15.95" customHeight="1" x14ac:dyDescent="0.25">
      <c r="A206" s="27"/>
      <c r="E206" s="6"/>
      <c r="F206" s="6"/>
      <c r="G206" s="6"/>
      <c r="H206" s="6"/>
      <c r="I206" s="6"/>
    </row>
    <row r="207" spans="1:9" ht="15.95" customHeight="1" x14ac:dyDescent="0.25">
      <c r="A207" s="27"/>
      <c r="E207" s="6"/>
      <c r="F207" s="6"/>
      <c r="G207" s="6"/>
      <c r="H207" s="6"/>
      <c r="I207" s="6"/>
    </row>
    <row r="208" spans="1:9" ht="15.95" customHeight="1" x14ac:dyDescent="0.25">
      <c r="E208" s="6"/>
      <c r="F208" s="6"/>
      <c r="G208" s="6"/>
      <c r="H208" s="6"/>
      <c r="I208" s="6"/>
    </row>
    <row r="209" spans="1:9" ht="15.95" customHeight="1" x14ac:dyDescent="0.25">
      <c r="E209" s="6"/>
      <c r="F209" s="6"/>
      <c r="G209" s="6"/>
      <c r="H209" s="6"/>
      <c r="I209" s="6"/>
    </row>
    <row r="210" spans="1:9" ht="15.95" customHeight="1" x14ac:dyDescent="0.25">
      <c r="E210" s="6"/>
      <c r="F210" s="6"/>
      <c r="G210" s="6"/>
      <c r="H210" s="6"/>
      <c r="I210" s="6"/>
    </row>
    <row r="211" spans="1:9" ht="15.95" customHeight="1" x14ac:dyDescent="0.25">
      <c r="A211" s="27"/>
      <c r="E211" s="6"/>
      <c r="F211" s="6"/>
      <c r="G211" s="6"/>
      <c r="H211" s="6"/>
      <c r="I211" s="6"/>
    </row>
    <row r="212" spans="1:9" ht="15.95" customHeight="1" x14ac:dyDescent="0.25">
      <c r="E212" s="6"/>
      <c r="F212" s="6"/>
      <c r="G212" s="6"/>
      <c r="H212" s="6"/>
      <c r="I212" s="6"/>
    </row>
    <row r="213" spans="1:9" ht="15.95" customHeight="1" x14ac:dyDescent="0.25">
      <c r="E213" s="6"/>
      <c r="F213" s="6"/>
      <c r="G213" s="6"/>
      <c r="H213" s="6"/>
      <c r="I213" s="6"/>
    </row>
    <row r="214" spans="1:9" ht="15.95" customHeight="1" x14ac:dyDescent="0.25">
      <c r="E214" s="6"/>
      <c r="F214" s="6"/>
      <c r="G214" s="6"/>
      <c r="H214" s="6"/>
      <c r="I214" s="6"/>
    </row>
    <row r="215" spans="1:9" ht="15.95" customHeight="1" x14ac:dyDescent="0.25">
      <c r="A215" s="27"/>
      <c r="E215" s="6"/>
      <c r="F215" s="6"/>
      <c r="G215" s="6"/>
      <c r="H215" s="6"/>
      <c r="I215" s="6"/>
    </row>
    <row r="216" spans="1:9" ht="15.95" customHeight="1" x14ac:dyDescent="0.25">
      <c r="E216" s="6"/>
      <c r="F216" s="6"/>
      <c r="G216" s="6"/>
      <c r="H216" s="6"/>
      <c r="I216" s="6"/>
    </row>
    <row r="217" spans="1:9" ht="15.95" customHeight="1" x14ac:dyDescent="0.25">
      <c r="E217" s="6"/>
      <c r="F217" s="6"/>
      <c r="G217" s="6"/>
      <c r="H217" s="6"/>
      <c r="I217" s="6"/>
    </row>
    <row r="218" spans="1:9" ht="15.95" customHeight="1" x14ac:dyDescent="0.25">
      <c r="E218" s="6"/>
      <c r="F218" s="6"/>
      <c r="G218" s="6"/>
      <c r="H218" s="6"/>
      <c r="I218" s="6"/>
    </row>
    <row r="219" spans="1:9" ht="15.95" customHeight="1" x14ac:dyDescent="0.25">
      <c r="E219" s="6"/>
      <c r="F219" s="6"/>
      <c r="G219" s="6"/>
      <c r="H219" s="6"/>
      <c r="I219" s="6"/>
    </row>
    <row r="220" spans="1:9" ht="15.95" customHeight="1" x14ac:dyDescent="0.25">
      <c r="E220" s="6"/>
      <c r="F220" s="6"/>
      <c r="G220" s="6"/>
      <c r="H220" s="6"/>
      <c r="I220" s="6"/>
    </row>
    <row r="221" spans="1:9" ht="15.95" customHeight="1" x14ac:dyDescent="0.25">
      <c r="A221" s="27"/>
      <c r="E221" s="6"/>
      <c r="F221" s="6"/>
      <c r="G221" s="6"/>
      <c r="H221" s="6"/>
      <c r="I221" s="6"/>
    </row>
    <row r="222" spans="1:9" ht="15.95" customHeight="1" x14ac:dyDescent="0.25">
      <c r="E222" s="6"/>
      <c r="F222" s="6"/>
      <c r="G222" s="6"/>
      <c r="H222" s="6"/>
      <c r="I222" s="6"/>
    </row>
    <row r="223" spans="1:9" ht="15.95" customHeight="1" x14ac:dyDescent="0.25">
      <c r="E223" s="6"/>
      <c r="F223" s="6"/>
      <c r="G223" s="6"/>
      <c r="H223" s="6"/>
      <c r="I223" s="6"/>
    </row>
    <row r="224" spans="1:9" ht="15.95" customHeight="1" x14ac:dyDescent="0.25">
      <c r="E224" s="6"/>
      <c r="F224" s="6"/>
      <c r="G224" s="6"/>
      <c r="H224" s="6"/>
      <c r="I224" s="6"/>
    </row>
    <row r="225" spans="5:9" ht="15.95" customHeight="1" x14ac:dyDescent="0.25">
      <c r="E225" s="6"/>
      <c r="F225" s="6"/>
      <c r="G225" s="6"/>
      <c r="H225" s="6"/>
      <c r="I225" s="6"/>
    </row>
    <row r="226" spans="5:9" ht="15.95" customHeight="1" x14ac:dyDescent="0.25">
      <c r="E226" s="6"/>
      <c r="F226" s="6"/>
      <c r="G226" s="6"/>
      <c r="H226" s="6"/>
      <c r="I226" s="6"/>
    </row>
    <row r="227" spans="5:9" ht="15.95" customHeight="1" x14ac:dyDescent="0.25">
      <c r="E227" s="6"/>
      <c r="F227" s="6"/>
      <c r="G227" s="6"/>
      <c r="H227" s="6"/>
      <c r="I227" s="6"/>
    </row>
    <row r="228" spans="5:9" ht="15.95" customHeight="1" x14ac:dyDescent="0.25">
      <c r="E228" s="6"/>
      <c r="F228" s="6"/>
      <c r="G228" s="6"/>
      <c r="H228" s="6"/>
      <c r="I228" s="6"/>
    </row>
    <row r="229" spans="5:9" ht="15.95" customHeight="1" x14ac:dyDescent="0.25">
      <c r="E229" s="6"/>
      <c r="F229" s="6"/>
      <c r="G229" s="6"/>
      <c r="H229" s="6"/>
      <c r="I229" s="6"/>
    </row>
    <row r="230" spans="5:9" ht="15.95" customHeight="1" x14ac:dyDescent="0.25">
      <c r="E230" s="6"/>
      <c r="F230" s="6"/>
      <c r="G230" s="6"/>
      <c r="H230" s="6"/>
      <c r="I230" s="6"/>
    </row>
    <row r="231" spans="5:9" ht="15.95" customHeight="1" x14ac:dyDescent="0.25">
      <c r="E231" s="6"/>
      <c r="F231" s="6"/>
      <c r="G231" s="6"/>
      <c r="H231" s="6"/>
      <c r="I231" s="6"/>
    </row>
    <row r="232" spans="5:9" ht="15.95" customHeight="1" x14ac:dyDescent="0.25">
      <c r="E232" s="6"/>
      <c r="F232" s="6"/>
      <c r="G232" s="6"/>
      <c r="H232" s="6"/>
      <c r="I232" s="6"/>
    </row>
    <row r="233" spans="5:9" ht="15.95" customHeight="1" x14ac:dyDescent="0.25">
      <c r="E233" s="6"/>
      <c r="F233" s="6"/>
      <c r="G233" s="6"/>
      <c r="H233" s="6"/>
      <c r="I233" s="6"/>
    </row>
    <row r="234" spans="5:9" ht="15.95" customHeight="1" x14ac:dyDescent="0.25">
      <c r="E234" s="6"/>
      <c r="F234" s="6"/>
      <c r="G234" s="6"/>
      <c r="H234" s="6"/>
      <c r="I234" s="6"/>
    </row>
    <row r="235" spans="5:9" ht="15.95" customHeight="1" x14ac:dyDescent="0.25">
      <c r="E235" s="6"/>
      <c r="F235" s="6"/>
      <c r="G235" s="6"/>
      <c r="H235" s="6"/>
      <c r="I235" s="6"/>
    </row>
    <row r="236" spans="5:9" ht="15.95" customHeight="1" x14ac:dyDescent="0.25">
      <c r="E236" s="6"/>
      <c r="F236" s="6"/>
      <c r="G236" s="6"/>
      <c r="H236" s="6"/>
      <c r="I236" s="6"/>
    </row>
    <row r="237" spans="5:9" ht="15.95" customHeight="1" x14ac:dyDescent="0.25">
      <c r="E237" s="6"/>
      <c r="F237" s="6"/>
      <c r="G237" s="6"/>
      <c r="H237" s="6"/>
      <c r="I237" s="6"/>
    </row>
    <row r="238" spans="5:9" ht="15.95" customHeight="1" x14ac:dyDescent="0.25">
      <c r="E238" s="6"/>
      <c r="F238" s="6"/>
      <c r="G238" s="6"/>
      <c r="H238" s="6"/>
      <c r="I238" s="6"/>
    </row>
    <row r="239" spans="5:9" ht="15.95" customHeight="1" x14ac:dyDescent="0.25">
      <c r="E239" s="6"/>
      <c r="F239" s="6"/>
      <c r="G239" s="6"/>
      <c r="H239" s="6"/>
      <c r="I239" s="6"/>
    </row>
    <row r="240" spans="5:9" ht="15.95" customHeight="1" x14ac:dyDescent="0.25">
      <c r="E240" s="6"/>
      <c r="F240" s="6"/>
      <c r="G240" s="6"/>
      <c r="H240" s="6"/>
      <c r="I240" s="6"/>
    </row>
    <row r="241" spans="5:9" ht="15.95" customHeight="1" x14ac:dyDescent="0.25">
      <c r="G241" s="14"/>
      <c r="H241" s="14"/>
      <c r="I241" s="13"/>
    </row>
    <row r="242" spans="5:9" ht="15.95" customHeight="1" x14ac:dyDescent="0.25">
      <c r="G242" s="14"/>
      <c r="H242" s="14"/>
      <c r="I242" s="15"/>
    </row>
    <row r="243" spans="5:9" ht="15.95" customHeight="1" x14ac:dyDescent="0.25">
      <c r="E243" s="13"/>
      <c r="F243" s="13"/>
      <c r="G243" s="14"/>
      <c r="H243" s="14"/>
      <c r="I243" s="13"/>
    </row>
    <row r="244" spans="5:9" ht="15.95" customHeight="1" x14ac:dyDescent="0.25">
      <c r="E244" s="13"/>
      <c r="F244" s="13"/>
      <c r="G244" s="14"/>
      <c r="H244" s="14"/>
      <c r="I244" s="13"/>
    </row>
    <row r="245" spans="5:9" ht="15.95" customHeight="1" x14ac:dyDescent="0.25">
      <c r="F245" s="13"/>
      <c r="G245" s="14"/>
      <c r="H245" s="14"/>
      <c r="I245" s="13"/>
    </row>
    <row r="246" spans="5:9" ht="15.95" customHeight="1" x14ac:dyDescent="0.25">
      <c r="E246" s="13"/>
      <c r="F246" s="13"/>
      <c r="G246" s="14"/>
      <c r="H246" s="14"/>
      <c r="I246" s="13"/>
    </row>
    <row r="247" spans="5:9" ht="15.95" customHeight="1" x14ac:dyDescent="0.25">
      <c r="G247" s="14"/>
      <c r="H247" s="14"/>
      <c r="I247" s="15"/>
    </row>
    <row r="248" spans="5:9" ht="15.95" customHeight="1" x14ac:dyDescent="0.25">
      <c r="G248" s="14"/>
      <c r="H248" s="14"/>
      <c r="I248" s="15"/>
    </row>
    <row r="249" spans="5:9" ht="15.95" customHeight="1" x14ac:dyDescent="0.25">
      <c r="E249" s="15"/>
      <c r="F249" s="15"/>
      <c r="G249" s="14"/>
      <c r="H249" s="14"/>
      <c r="I249" s="13"/>
    </row>
    <row r="250" spans="5:9" ht="15.95" customHeight="1" x14ac:dyDescent="0.25">
      <c r="E250" s="13"/>
      <c r="F250" s="13"/>
      <c r="G250" s="14"/>
      <c r="H250" s="14"/>
      <c r="I250" s="13"/>
    </row>
    <row r="251" spans="5:9" ht="15.95" customHeight="1" x14ac:dyDescent="0.25">
      <c r="G251" s="14"/>
      <c r="H251" s="14"/>
      <c r="I251" s="15"/>
    </row>
    <row r="252" spans="5:9" ht="15.95" customHeight="1" x14ac:dyDescent="0.25">
      <c r="G252" s="14"/>
      <c r="H252" s="14"/>
      <c r="I252" s="13"/>
    </row>
    <row r="253" spans="5:9" ht="15.95" customHeight="1" x14ac:dyDescent="0.25">
      <c r="E253" s="13"/>
      <c r="F253" s="13"/>
      <c r="G253" s="14"/>
      <c r="H253" s="14"/>
      <c r="I253" s="13"/>
    </row>
    <row r="254" spans="5:9" ht="15.95" customHeight="1" x14ac:dyDescent="0.25">
      <c r="G254" s="14"/>
      <c r="H254" s="14"/>
      <c r="I254" s="15"/>
    </row>
    <row r="255" spans="5:9" ht="15.95" customHeight="1" x14ac:dyDescent="0.25">
      <c r="G255" s="14"/>
      <c r="H255" s="14"/>
      <c r="I255" s="15"/>
    </row>
    <row r="256" spans="5:9" ht="15.95" customHeight="1" x14ac:dyDescent="0.25">
      <c r="G256" s="14"/>
      <c r="H256" s="14"/>
      <c r="I256" s="13"/>
    </row>
    <row r="257" spans="5:9" ht="13.5" customHeight="1" x14ac:dyDescent="0.25">
      <c r="E257" s="13"/>
      <c r="F257" s="13"/>
      <c r="G257" s="14"/>
      <c r="H257" s="14"/>
      <c r="I257" s="13"/>
    </row>
    <row r="258" spans="5:9" ht="15.95" customHeight="1" x14ac:dyDescent="0.25">
      <c r="G258" s="14"/>
      <c r="H258" s="14"/>
      <c r="I258" s="15"/>
    </row>
    <row r="259" spans="5:9" ht="15.95" customHeight="1" x14ac:dyDescent="0.25">
      <c r="E259" s="13"/>
      <c r="F259" s="13"/>
      <c r="G259" s="14"/>
      <c r="H259" s="14"/>
      <c r="I259" s="13"/>
    </row>
    <row r="260" spans="5:9" ht="15.95" customHeight="1" x14ac:dyDescent="0.25">
      <c r="E260" s="13"/>
      <c r="F260" s="13"/>
      <c r="G260" s="14"/>
      <c r="H260" s="14"/>
      <c r="I260" s="13"/>
    </row>
    <row r="261" spans="5:9" ht="15.95" customHeight="1" x14ac:dyDescent="0.25">
      <c r="G261" s="14"/>
      <c r="H261" s="14"/>
      <c r="I261" s="13"/>
    </row>
    <row r="262" spans="5:9" ht="15.95" customHeight="1" x14ac:dyDescent="0.25">
      <c r="G262" s="14"/>
      <c r="H262" s="14"/>
      <c r="I262" s="13"/>
    </row>
    <row r="263" spans="5:9" ht="15.95" customHeight="1" x14ac:dyDescent="0.25">
      <c r="G263" s="14"/>
      <c r="H263" s="14"/>
      <c r="I263" s="15"/>
    </row>
    <row r="264" spans="5:9" ht="15.95" customHeight="1" x14ac:dyDescent="0.25">
      <c r="G264" s="14"/>
      <c r="H264" s="14"/>
      <c r="I264" s="15"/>
    </row>
    <row r="265" spans="5:9" ht="15.95" customHeight="1" x14ac:dyDescent="0.25">
      <c r="E265" s="13"/>
      <c r="F265" s="13"/>
      <c r="G265" s="14"/>
      <c r="H265" s="14"/>
      <c r="I265" s="13"/>
    </row>
    <row r="266" spans="5:9" ht="15.95" customHeight="1" x14ac:dyDescent="0.25">
      <c r="G266" s="14"/>
      <c r="H266" s="14"/>
      <c r="I266" s="13"/>
    </row>
    <row r="267" spans="5:9" ht="15.95" customHeight="1" x14ac:dyDescent="0.25">
      <c r="G267" s="14"/>
      <c r="H267" s="14"/>
      <c r="I267" s="13"/>
    </row>
    <row r="268" spans="5:9" ht="15.95" customHeight="1" x14ac:dyDescent="0.25">
      <c r="E268" s="13"/>
      <c r="F268" s="13"/>
      <c r="G268" s="14"/>
      <c r="H268" s="14"/>
      <c r="I268" s="13"/>
    </row>
    <row r="269" spans="5:9" ht="15.95" customHeight="1" x14ac:dyDescent="0.25">
      <c r="E269" s="15"/>
      <c r="F269" s="15"/>
      <c r="G269" s="14"/>
      <c r="H269" s="14"/>
      <c r="I269" s="15"/>
    </row>
    <row r="270" spans="5:9" ht="15.95" customHeight="1" x14ac:dyDescent="0.25">
      <c r="E270" s="13"/>
      <c r="F270" s="13"/>
      <c r="G270" s="14"/>
      <c r="H270" s="14"/>
      <c r="I270" s="13"/>
    </row>
    <row r="271" spans="5:9" ht="15.95" customHeight="1" x14ac:dyDescent="0.25">
      <c r="E271" s="13"/>
      <c r="F271" s="13"/>
      <c r="G271" s="14"/>
      <c r="H271" s="14"/>
      <c r="I271" s="13"/>
    </row>
    <row r="272" spans="5:9" ht="15.95" customHeight="1" x14ac:dyDescent="0.25">
      <c r="E272" s="13"/>
      <c r="F272" s="13"/>
      <c r="G272" s="14"/>
      <c r="H272" s="14"/>
      <c r="I272" s="13"/>
    </row>
    <row r="273" spans="5:9" ht="15.95" customHeight="1" x14ac:dyDescent="0.25">
      <c r="E273" s="13"/>
      <c r="F273" s="13"/>
      <c r="G273" s="14"/>
      <c r="H273" s="14"/>
      <c r="I273" s="13"/>
    </row>
    <row r="274" spans="5:9" ht="15.95" customHeight="1" x14ac:dyDescent="0.25">
      <c r="E274" s="13"/>
      <c r="F274" s="13"/>
      <c r="G274" s="14"/>
      <c r="H274" s="14"/>
      <c r="I274" s="13"/>
    </row>
    <row r="275" spans="5:9" ht="15.95" customHeight="1" x14ac:dyDescent="0.25">
      <c r="G275" s="14"/>
      <c r="H275" s="14"/>
      <c r="I275" s="15"/>
    </row>
    <row r="276" spans="5:9" ht="15.95" customHeight="1" x14ac:dyDescent="0.25">
      <c r="G276" s="14"/>
      <c r="H276" s="14"/>
      <c r="I276" s="13"/>
    </row>
    <row r="277" spans="5:9" ht="15.95" customHeight="1" x14ac:dyDescent="0.25">
      <c r="G277" s="14"/>
      <c r="H277" s="14"/>
      <c r="I277" s="15"/>
    </row>
    <row r="278" spans="5:9" ht="15.95" customHeight="1" x14ac:dyDescent="0.25">
      <c r="G278" s="14"/>
      <c r="H278" s="14"/>
      <c r="I278" s="15"/>
    </row>
    <row r="279" spans="5:9" ht="15.95" customHeight="1" x14ac:dyDescent="0.25">
      <c r="E279" s="13"/>
      <c r="F279" s="13"/>
      <c r="G279" s="14"/>
      <c r="H279" s="14"/>
      <c r="I279" s="13"/>
    </row>
    <row r="280" spans="5:9" ht="15.95" customHeight="1" x14ac:dyDescent="0.25">
      <c r="G280" s="14"/>
      <c r="H280" s="14"/>
      <c r="I280" s="15"/>
    </row>
    <row r="281" spans="5:9" ht="15.95" customHeight="1" x14ac:dyDescent="0.25">
      <c r="E281" s="13"/>
      <c r="F281" s="13"/>
      <c r="G281" s="14"/>
      <c r="H281" s="14"/>
      <c r="I281" s="13"/>
    </row>
    <row r="282" spans="5:9" ht="15.95" customHeight="1" x14ac:dyDescent="0.25">
      <c r="E282" s="13"/>
      <c r="F282" s="13"/>
      <c r="G282" s="14"/>
      <c r="H282" s="14"/>
      <c r="I282" s="13"/>
    </row>
    <row r="283" spans="5:9" ht="15.95" customHeight="1" x14ac:dyDescent="0.25">
      <c r="E283" s="13"/>
      <c r="F283" s="13"/>
      <c r="G283" s="14"/>
      <c r="H283" s="14"/>
      <c r="I283" s="13"/>
    </row>
    <row r="284" spans="5:9" ht="15.95" customHeight="1" x14ac:dyDescent="0.25">
      <c r="E284" s="13"/>
      <c r="F284" s="13"/>
      <c r="G284" s="14"/>
      <c r="H284" s="14"/>
      <c r="I284" s="13"/>
    </row>
    <row r="285" spans="5:9" ht="15.95" customHeight="1" x14ac:dyDescent="0.25">
      <c r="G285" s="14"/>
      <c r="H285" s="14"/>
      <c r="I285" s="15"/>
    </row>
    <row r="286" spans="5:9" ht="15.95" customHeight="1" x14ac:dyDescent="0.25">
      <c r="E286" s="13"/>
      <c r="F286" s="13"/>
      <c r="G286" s="14"/>
      <c r="H286" s="14"/>
      <c r="I286" s="13"/>
    </row>
    <row r="287" spans="5:9" ht="15.95" customHeight="1" x14ac:dyDescent="0.25">
      <c r="E287" s="13"/>
      <c r="F287" s="13"/>
      <c r="G287" s="14"/>
      <c r="H287" s="14"/>
      <c r="I287" s="13"/>
    </row>
    <row r="288" spans="5:9" ht="15.95" customHeight="1" x14ac:dyDescent="0.25">
      <c r="G288" s="14"/>
      <c r="H288" s="14"/>
      <c r="I288" s="15"/>
    </row>
    <row r="289" spans="5:9" ht="15.95" customHeight="1" x14ac:dyDescent="0.25">
      <c r="E289" s="13"/>
      <c r="F289" s="13"/>
      <c r="G289" s="14"/>
      <c r="H289" s="14"/>
      <c r="I289" s="13"/>
    </row>
    <row r="290" spans="5:9" ht="15.95" customHeight="1" x14ac:dyDescent="0.25">
      <c r="G290" s="14"/>
      <c r="H290" s="14"/>
      <c r="I290" s="15"/>
    </row>
    <row r="291" spans="5:9" ht="15.95" customHeight="1" x14ac:dyDescent="0.25">
      <c r="E291" s="13"/>
      <c r="F291" s="13"/>
      <c r="G291" s="14"/>
      <c r="H291" s="14"/>
      <c r="I291" s="13"/>
    </row>
    <row r="292" spans="5:9" ht="15.95" customHeight="1" x14ac:dyDescent="0.25">
      <c r="G292" s="14"/>
      <c r="H292" s="14"/>
      <c r="I292" s="14"/>
    </row>
    <row r="293" spans="5:9" ht="15.95" customHeight="1" x14ac:dyDescent="0.25">
      <c r="G293" s="14"/>
      <c r="H293" s="14"/>
      <c r="I293" s="14"/>
    </row>
    <row r="294" spans="5:9" ht="15.95" customHeight="1" x14ac:dyDescent="0.25">
      <c r="G294" s="14"/>
      <c r="H294" s="14"/>
      <c r="I294" s="13"/>
    </row>
    <row r="295" spans="5:9" ht="15.95" customHeight="1" x14ac:dyDescent="0.25">
      <c r="G295" s="14"/>
      <c r="H295" s="14"/>
      <c r="I295" s="15"/>
    </row>
    <row r="296" spans="5:9" ht="15.95" customHeight="1" x14ac:dyDescent="0.25">
      <c r="G296" s="14"/>
      <c r="H296" s="14"/>
      <c r="I296" s="15"/>
    </row>
    <row r="297" spans="5:9" ht="15.95" customHeight="1" x14ac:dyDescent="0.25">
      <c r="E297" s="13"/>
      <c r="F297" s="13"/>
      <c r="G297" s="14"/>
      <c r="H297" s="14"/>
      <c r="I297" s="13"/>
    </row>
    <row r="298" spans="5:9" ht="15.95" customHeight="1" x14ac:dyDescent="0.25">
      <c r="E298" s="13"/>
      <c r="F298" s="13"/>
      <c r="G298" s="14"/>
      <c r="H298" s="14"/>
      <c r="I298" s="13"/>
    </row>
    <row r="299" spans="5:9" ht="15.95" customHeight="1" x14ac:dyDescent="0.25">
      <c r="E299" s="13"/>
      <c r="F299" s="13"/>
      <c r="G299" s="14"/>
      <c r="H299" s="14"/>
      <c r="I299" s="13"/>
    </row>
    <row r="300" spans="5:9" ht="15.95" customHeight="1" x14ac:dyDescent="0.25">
      <c r="G300" s="14"/>
      <c r="H300" s="14"/>
      <c r="I300" s="14"/>
    </row>
    <row r="301" spans="5:9" ht="15.95" customHeight="1" x14ac:dyDescent="0.25">
      <c r="G301" s="14"/>
      <c r="H301" s="14"/>
      <c r="I301" s="15"/>
    </row>
    <row r="302" spans="5:9" ht="15.95" customHeight="1" x14ac:dyDescent="0.25">
      <c r="G302" s="14"/>
      <c r="H302" s="14"/>
      <c r="I302" s="15"/>
    </row>
    <row r="303" spans="5:9" ht="15.95" customHeight="1" x14ac:dyDescent="0.25">
      <c r="G303" s="14"/>
      <c r="H303" s="14"/>
      <c r="I303" s="14"/>
    </row>
    <row r="304" spans="5:9" ht="15.95" customHeight="1" x14ac:dyDescent="0.25">
      <c r="G304" s="14"/>
      <c r="H304" s="14"/>
      <c r="I304" s="13"/>
    </row>
    <row r="305" spans="5:9" ht="15.95" customHeight="1" x14ac:dyDescent="0.25">
      <c r="E305" s="13"/>
      <c r="F305" s="13"/>
      <c r="G305" s="14"/>
      <c r="H305" s="14"/>
      <c r="I305" s="13"/>
    </row>
    <row r="306" spans="5:9" ht="15.95" customHeight="1" x14ac:dyDescent="0.25">
      <c r="G306" s="14"/>
      <c r="H306" s="14"/>
      <c r="I306" s="14"/>
    </row>
    <row r="307" spans="5:9" ht="15.95" customHeight="1" x14ac:dyDescent="0.25">
      <c r="G307" s="14"/>
      <c r="H307" s="14"/>
      <c r="I307" s="15"/>
    </row>
    <row r="308" spans="5:9" ht="15.95" customHeight="1" x14ac:dyDescent="0.25">
      <c r="G308" s="14"/>
      <c r="H308" s="14"/>
      <c r="I308" s="14"/>
    </row>
    <row r="309" spans="5:9" ht="15.95" customHeight="1" x14ac:dyDescent="0.25">
      <c r="G309" s="14"/>
      <c r="H309" s="14"/>
      <c r="I309" s="13"/>
    </row>
    <row r="310" spans="5:9" ht="15.95" customHeight="1" x14ac:dyDescent="0.25">
      <c r="G310" s="14"/>
      <c r="H310" s="14"/>
      <c r="I310" s="14"/>
    </row>
    <row r="311" spans="5:9" ht="15.95" customHeight="1" x14ac:dyDescent="0.25">
      <c r="E311" s="13"/>
      <c r="F311" s="13"/>
      <c r="G311" s="14"/>
      <c r="H311" s="14"/>
      <c r="I311" s="13"/>
    </row>
    <row r="312" spans="5:9" ht="15.95" customHeight="1" x14ac:dyDescent="0.25">
      <c r="G312" s="14"/>
      <c r="H312" s="14"/>
      <c r="I312" s="15"/>
    </row>
    <row r="313" spans="5:9" ht="15.95" customHeight="1" x14ac:dyDescent="0.25">
      <c r="E313" s="13"/>
      <c r="F313" s="13"/>
      <c r="G313" s="14"/>
      <c r="H313" s="14"/>
      <c r="I313" s="13"/>
    </row>
    <row r="314" spans="5:9" ht="15.95" customHeight="1" x14ac:dyDescent="0.25">
      <c r="E314" s="13"/>
      <c r="F314" s="13"/>
      <c r="G314" s="14"/>
      <c r="H314" s="14"/>
      <c r="I314" s="13"/>
    </row>
    <row r="315" spans="5:9" ht="15.95" customHeight="1" x14ac:dyDescent="0.25">
      <c r="G315" s="14"/>
      <c r="H315" s="14"/>
      <c r="I315" s="15"/>
    </row>
    <row r="316" spans="5:9" ht="15.95" customHeight="1" x14ac:dyDescent="0.25">
      <c r="F316" s="16"/>
      <c r="G316" s="16"/>
      <c r="H316" s="14"/>
      <c r="I316" s="15"/>
    </row>
    <row r="317" spans="5:9" ht="15.95" customHeight="1" x14ac:dyDescent="0.25">
      <c r="G317" s="14"/>
      <c r="H317" s="14"/>
      <c r="I317" s="15"/>
    </row>
    <row r="318" spans="5:9" ht="15.95" customHeight="1" x14ac:dyDescent="0.25">
      <c r="E318" s="13"/>
      <c r="F318" s="13"/>
      <c r="G318" s="14"/>
      <c r="H318" s="14"/>
      <c r="I318" s="13"/>
    </row>
    <row r="319" spans="5:9" ht="15.95" customHeight="1" x14ac:dyDescent="0.25">
      <c r="E319" s="13"/>
      <c r="F319" s="13"/>
      <c r="G319" s="14"/>
      <c r="H319" s="14"/>
      <c r="I319" s="13"/>
    </row>
    <row r="320" spans="5:9" ht="15.95" customHeight="1" x14ac:dyDescent="0.25">
      <c r="E320" s="13"/>
      <c r="F320" s="13"/>
      <c r="G320" s="14"/>
      <c r="H320" s="14"/>
      <c r="I320" s="13"/>
    </row>
    <row r="321" spans="1:9" ht="15.95" customHeight="1" x14ac:dyDescent="0.25">
      <c r="A321" s="28"/>
      <c r="I321" s="15"/>
    </row>
    <row r="322" spans="1:9" ht="15.95" customHeight="1" x14ac:dyDescent="0.25">
      <c r="A322" s="28"/>
      <c r="E322" s="17"/>
      <c r="F322" s="17"/>
      <c r="I322" s="18"/>
    </row>
    <row r="323" spans="1:9" ht="15.95" customHeight="1" x14ac:dyDescent="0.25">
      <c r="A323" s="28"/>
      <c r="E323" s="17"/>
      <c r="F323" s="17"/>
      <c r="I323" s="19"/>
    </row>
    <row r="324" spans="1:9" ht="15.95" customHeight="1" x14ac:dyDescent="0.25">
      <c r="E324" s="17"/>
      <c r="F324" s="17"/>
      <c r="I324" s="19"/>
    </row>
    <row r="325" spans="1:9" ht="15.95" customHeight="1" x14ac:dyDescent="0.25">
      <c r="E325" s="17"/>
      <c r="F325" s="17"/>
      <c r="I325" s="19"/>
    </row>
    <row r="326" spans="1:9" ht="15.95" customHeight="1" x14ac:dyDescent="0.25">
      <c r="E326" s="17"/>
      <c r="F326" s="17"/>
      <c r="I326" s="19"/>
    </row>
    <row r="327" spans="1:9" ht="15.95" customHeight="1" x14ac:dyDescent="0.25">
      <c r="E327" s="17"/>
      <c r="F327" s="17"/>
      <c r="I327" s="19"/>
    </row>
    <row r="328" spans="1:9" ht="15.95" customHeight="1" x14ac:dyDescent="0.25">
      <c r="E328" s="17"/>
      <c r="F328" s="17"/>
      <c r="I328" s="19"/>
    </row>
    <row r="329" spans="1:9" ht="15.95" customHeight="1" x14ac:dyDescent="0.25">
      <c r="E329" s="17"/>
      <c r="F329" s="17"/>
      <c r="I329" s="19"/>
    </row>
    <row r="330" spans="1:9" ht="15.95" customHeight="1" x14ac:dyDescent="0.25">
      <c r="E330" s="17"/>
      <c r="F330" s="17"/>
      <c r="I330" s="19"/>
    </row>
    <row r="331" spans="1:9" ht="15.95" customHeight="1" x14ac:dyDescent="0.25">
      <c r="E331" s="17"/>
      <c r="F331" s="17"/>
      <c r="I331" s="19"/>
    </row>
    <row r="332" spans="1:9" ht="15.95" customHeight="1" x14ac:dyDescent="0.25">
      <c r="A332" s="28"/>
      <c r="E332" s="17"/>
      <c r="F332" s="17"/>
      <c r="I332" s="19"/>
    </row>
    <row r="333" spans="1:9" ht="15.95" customHeight="1" x14ac:dyDescent="0.25">
      <c r="E333" s="17"/>
      <c r="F333" s="17"/>
      <c r="I333" s="19"/>
    </row>
    <row r="334" spans="1:9" ht="15.95" customHeight="1" x14ac:dyDescent="0.25">
      <c r="E334" s="17"/>
      <c r="F334" s="17"/>
      <c r="I334" s="19"/>
    </row>
    <row r="335" spans="1:9" ht="15.95" customHeight="1" x14ac:dyDescent="0.25">
      <c r="E335" s="17"/>
      <c r="F335" s="17"/>
      <c r="I335" s="19"/>
    </row>
    <row r="336" spans="1:9" ht="15.95" customHeight="1" x14ac:dyDescent="0.25">
      <c r="E336" s="17"/>
      <c r="F336" s="17"/>
      <c r="I336" s="19"/>
    </row>
    <row r="337" spans="1:9" ht="15.95" customHeight="1" x14ac:dyDescent="0.25">
      <c r="E337" s="17"/>
      <c r="F337" s="17"/>
      <c r="I337" s="19"/>
    </row>
    <row r="338" spans="1:9" ht="15.95" customHeight="1" x14ac:dyDescent="0.25">
      <c r="E338" s="17"/>
      <c r="F338" s="17"/>
      <c r="I338" s="19"/>
    </row>
    <row r="339" spans="1:9" ht="15.95" customHeight="1" x14ac:dyDescent="0.25">
      <c r="E339" s="17"/>
      <c r="F339" s="17"/>
      <c r="I339" s="19"/>
    </row>
    <row r="340" spans="1:9" ht="15.95" customHeight="1" x14ac:dyDescent="0.25">
      <c r="E340" s="17"/>
      <c r="F340" s="17"/>
      <c r="I340" s="19"/>
    </row>
    <row r="341" spans="1:9" ht="15.95" customHeight="1" x14ac:dyDescent="0.25">
      <c r="A341" s="28"/>
      <c r="E341" s="17"/>
      <c r="F341" s="17"/>
      <c r="I341" s="19"/>
    </row>
    <row r="342" spans="1:9" ht="15.95" customHeight="1" x14ac:dyDescent="0.25">
      <c r="E342" s="17"/>
      <c r="F342" s="17"/>
      <c r="I342" s="19"/>
    </row>
    <row r="343" spans="1:9" ht="15.95" customHeight="1" x14ac:dyDescent="0.25">
      <c r="E343" s="17"/>
      <c r="F343" s="17"/>
      <c r="I343" s="19"/>
    </row>
    <row r="344" spans="1:9" ht="15.95" customHeight="1" x14ac:dyDescent="0.25">
      <c r="E344" s="17"/>
      <c r="F344" s="17"/>
      <c r="I344" s="19"/>
    </row>
    <row r="345" spans="1:9" ht="15.95" customHeight="1" x14ac:dyDescent="0.25">
      <c r="E345" s="17"/>
      <c r="F345" s="17"/>
      <c r="I345" s="19"/>
    </row>
    <row r="346" spans="1:9" ht="15.95" customHeight="1" x14ac:dyDescent="0.25">
      <c r="E346" s="17"/>
      <c r="F346" s="17"/>
      <c r="I346" s="19"/>
    </row>
    <row r="347" spans="1:9" ht="15.95" customHeight="1" x14ac:dyDescent="0.25">
      <c r="E347" s="17"/>
      <c r="F347" s="17"/>
      <c r="I347" s="19"/>
    </row>
    <row r="348" spans="1:9" ht="15.95" customHeight="1" x14ac:dyDescent="0.25">
      <c r="E348" s="17"/>
      <c r="F348" s="17"/>
      <c r="I348" s="19"/>
    </row>
    <row r="349" spans="1:9" ht="15.95" customHeight="1" x14ac:dyDescent="0.25">
      <c r="E349" s="17"/>
      <c r="F349" s="17"/>
      <c r="I349" s="19"/>
    </row>
    <row r="350" spans="1:9" ht="15.95" customHeight="1" x14ac:dyDescent="0.25">
      <c r="A350" s="28"/>
      <c r="E350" s="17"/>
      <c r="F350" s="17"/>
      <c r="I350" s="19"/>
    </row>
    <row r="351" spans="1:9" ht="15.95" customHeight="1" x14ac:dyDescent="0.25">
      <c r="E351" s="17"/>
      <c r="F351" s="17"/>
      <c r="I351" s="19"/>
    </row>
    <row r="352" spans="1:9" ht="15.95" customHeight="1" x14ac:dyDescent="0.25">
      <c r="E352" s="17"/>
      <c r="F352" s="17"/>
      <c r="I352" s="19"/>
    </row>
    <row r="353" spans="1:9" ht="15.95" customHeight="1" x14ac:dyDescent="0.25">
      <c r="E353" s="17"/>
      <c r="F353" s="17"/>
      <c r="I353" s="19"/>
    </row>
    <row r="354" spans="1:9" ht="15.95" customHeight="1" x14ac:dyDescent="0.25">
      <c r="E354" s="17"/>
      <c r="F354" s="17"/>
      <c r="I354" s="19"/>
    </row>
    <row r="355" spans="1:9" ht="15.95" customHeight="1" x14ac:dyDescent="0.25">
      <c r="E355" s="17"/>
      <c r="F355" s="17"/>
      <c r="I355" s="19"/>
    </row>
    <row r="356" spans="1:9" ht="15.95" customHeight="1" x14ac:dyDescent="0.25">
      <c r="E356" s="17"/>
      <c r="F356" s="17"/>
      <c r="I356" s="19"/>
    </row>
    <row r="357" spans="1:9" ht="15.95" customHeight="1" x14ac:dyDescent="0.25">
      <c r="E357" s="17"/>
      <c r="F357" s="17"/>
      <c r="I357" s="19"/>
    </row>
    <row r="358" spans="1:9" ht="15.95" customHeight="1" x14ac:dyDescent="0.25">
      <c r="E358" s="17"/>
      <c r="F358" s="17"/>
      <c r="I358" s="19"/>
    </row>
    <row r="359" spans="1:9" ht="15.95" customHeight="1" x14ac:dyDescent="0.25">
      <c r="A359" s="28"/>
      <c r="E359" s="17"/>
      <c r="F359" s="17"/>
      <c r="I359" s="19"/>
    </row>
    <row r="360" spans="1:9" ht="15.95" customHeight="1" x14ac:dyDescent="0.25">
      <c r="E360" s="17"/>
      <c r="F360" s="17"/>
      <c r="I360" s="19"/>
    </row>
    <row r="361" spans="1:9" ht="15.95" customHeight="1" x14ac:dyDescent="0.25">
      <c r="E361" s="17"/>
      <c r="F361" s="17"/>
      <c r="I361" s="19"/>
    </row>
    <row r="362" spans="1:9" ht="15.95" customHeight="1" x14ac:dyDescent="0.25">
      <c r="E362" s="17"/>
      <c r="F362" s="17"/>
      <c r="I362" s="19"/>
    </row>
    <row r="363" spans="1:9" ht="15.95" customHeight="1" x14ac:dyDescent="0.25">
      <c r="E363" s="17"/>
      <c r="F363" s="17"/>
      <c r="I363" s="19"/>
    </row>
    <row r="364" spans="1:9" ht="15.95" customHeight="1" x14ac:dyDescent="0.25">
      <c r="E364" s="17"/>
      <c r="F364" s="17"/>
      <c r="I364" s="19"/>
    </row>
    <row r="365" spans="1:9" ht="15.95" customHeight="1" x14ac:dyDescent="0.25">
      <c r="E365" s="17"/>
      <c r="F365" s="17"/>
      <c r="I365" s="19"/>
    </row>
    <row r="366" spans="1:9" ht="15.95" customHeight="1" x14ac:dyDescent="0.25">
      <c r="E366" s="17"/>
      <c r="F366" s="17"/>
      <c r="I366" s="19"/>
    </row>
    <row r="367" spans="1:9" ht="15.95" customHeight="1" x14ac:dyDescent="0.25">
      <c r="E367" s="17"/>
      <c r="F367" s="17"/>
      <c r="I367" s="19"/>
    </row>
    <row r="368" spans="1:9" ht="15.95" customHeight="1" x14ac:dyDescent="0.25">
      <c r="A368" s="28"/>
      <c r="E368" s="17"/>
      <c r="F368" s="17"/>
      <c r="I368" s="19"/>
    </row>
    <row r="369" spans="1:9" ht="15.95" customHeight="1" x14ac:dyDescent="0.25">
      <c r="E369" s="17"/>
      <c r="F369" s="17"/>
      <c r="I369" s="19"/>
    </row>
    <row r="370" spans="1:9" ht="15.95" customHeight="1" x14ac:dyDescent="0.25">
      <c r="E370" s="17"/>
      <c r="F370" s="17"/>
      <c r="I370" s="19"/>
    </row>
    <row r="371" spans="1:9" ht="15.95" customHeight="1" x14ac:dyDescent="0.25">
      <c r="E371" s="17"/>
      <c r="F371" s="17"/>
      <c r="I371" s="19"/>
    </row>
    <row r="372" spans="1:9" ht="15.95" customHeight="1" x14ac:dyDescent="0.25">
      <c r="E372" s="17"/>
      <c r="F372" s="17"/>
      <c r="I372" s="19"/>
    </row>
    <row r="373" spans="1:9" ht="15.95" customHeight="1" x14ac:dyDescent="0.25">
      <c r="E373" s="17"/>
      <c r="F373" s="17"/>
      <c r="I373" s="19"/>
    </row>
    <row r="374" spans="1:9" ht="15.95" customHeight="1" x14ac:dyDescent="0.25">
      <c r="E374" s="17"/>
      <c r="F374" s="17"/>
      <c r="I374" s="19"/>
    </row>
    <row r="375" spans="1:9" ht="15.95" customHeight="1" x14ac:dyDescent="0.25">
      <c r="E375" s="17"/>
      <c r="F375" s="17"/>
      <c r="I375" s="19"/>
    </row>
    <row r="376" spans="1:9" ht="15.95" customHeight="1" x14ac:dyDescent="0.25">
      <c r="E376" s="17"/>
      <c r="F376" s="17"/>
      <c r="I376" s="19"/>
    </row>
    <row r="377" spans="1:9" ht="15.95" customHeight="1" x14ac:dyDescent="0.25">
      <c r="A377" s="28"/>
      <c r="E377" s="17"/>
      <c r="F377" s="17"/>
      <c r="I377" s="19"/>
    </row>
    <row r="378" spans="1:9" ht="15.95" customHeight="1" x14ac:dyDescent="0.25">
      <c r="E378" s="17"/>
      <c r="F378" s="17"/>
      <c r="I378" s="19"/>
    </row>
    <row r="379" spans="1:9" ht="15.95" customHeight="1" x14ac:dyDescent="0.25">
      <c r="E379" s="17"/>
      <c r="F379" s="17"/>
      <c r="I379" s="19"/>
    </row>
    <row r="380" spans="1:9" ht="15.95" customHeight="1" x14ac:dyDescent="0.25">
      <c r="E380" s="17"/>
      <c r="F380" s="17"/>
      <c r="I380" s="19"/>
    </row>
    <row r="381" spans="1:9" ht="15.95" customHeight="1" x14ac:dyDescent="0.25">
      <c r="E381" s="17"/>
      <c r="F381" s="17"/>
      <c r="I381" s="19"/>
    </row>
    <row r="382" spans="1:9" ht="15.95" customHeight="1" x14ac:dyDescent="0.25">
      <c r="E382" s="17"/>
      <c r="F382" s="17"/>
      <c r="I382" s="19"/>
    </row>
    <row r="383" spans="1:9" ht="15.95" customHeight="1" x14ac:dyDescent="0.25">
      <c r="E383" s="17"/>
      <c r="F383" s="17"/>
      <c r="I383" s="19"/>
    </row>
    <row r="384" spans="1:9" ht="15.95" customHeight="1" x14ac:dyDescent="0.25">
      <c r="E384" s="17"/>
      <c r="F384" s="17"/>
      <c r="I384" s="19"/>
    </row>
    <row r="385" spans="1:9" ht="15.95" customHeight="1" x14ac:dyDescent="0.25">
      <c r="E385" s="17"/>
      <c r="F385" s="17"/>
      <c r="I385" s="19"/>
    </row>
    <row r="386" spans="1:9" ht="15.95" customHeight="1" x14ac:dyDescent="0.25">
      <c r="A386" s="28"/>
      <c r="E386" s="17"/>
      <c r="F386" s="17"/>
      <c r="I386" s="19"/>
    </row>
    <row r="387" spans="1:9" ht="15.95" customHeight="1" x14ac:dyDescent="0.25">
      <c r="E387" s="17"/>
      <c r="F387" s="17"/>
      <c r="I387" s="19"/>
    </row>
    <row r="388" spans="1:9" ht="15.95" customHeight="1" x14ac:dyDescent="0.25">
      <c r="E388" s="17"/>
      <c r="F388" s="17"/>
      <c r="I388" s="19"/>
    </row>
    <row r="389" spans="1:9" ht="15.95" customHeight="1" x14ac:dyDescent="0.25">
      <c r="E389" s="17"/>
      <c r="F389" s="17"/>
      <c r="I389" s="19"/>
    </row>
    <row r="390" spans="1:9" ht="15.95" customHeight="1" x14ac:dyDescent="0.25">
      <c r="E390" s="17"/>
      <c r="F390" s="17"/>
      <c r="I390" s="19"/>
    </row>
    <row r="391" spans="1:9" ht="15.95" customHeight="1" x14ac:dyDescent="0.25">
      <c r="E391" s="17"/>
      <c r="F391" s="17"/>
      <c r="I391" s="19"/>
    </row>
    <row r="392" spans="1:9" ht="15.95" customHeight="1" x14ac:dyDescent="0.25">
      <c r="E392" s="17"/>
      <c r="F392" s="17"/>
      <c r="I392" s="19"/>
    </row>
    <row r="393" spans="1:9" ht="15.95" customHeight="1" x14ac:dyDescent="0.25">
      <c r="E393" s="17"/>
      <c r="F393" s="17"/>
      <c r="I393" s="19"/>
    </row>
    <row r="394" spans="1:9" ht="15.95" customHeight="1" x14ac:dyDescent="0.25">
      <c r="E394" s="17"/>
      <c r="F394" s="17"/>
      <c r="I394" s="19"/>
    </row>
    <row r="395" spans="1:9" ht="15.95" customHeight="1" x14ac:dyDescent="0.25">
      <c r="A395" s="28"/>
      <c r="E395" s="17"/>
      <c r="F395" s="17"/>
      <c r="I395" s="19"/>
    </row>
    <row r="396" spans="1:9" ht="15.95" customHeight="1" x14ac:dyDescent="0.25">
      <c r="E396" s="17"/>
      <c r="F396" s="17"/>
      <c r="I396" s="19"/>
    </row>
    <row r="397" spans="1:9" ht="15.95" customHeight="1" x14ac:dyDescent="0.25">
      <c r="E397" s="17"/>
      <c r="F397" s="17"/>
      <c r="I397" s="19"/>
    </row>
    <row r="398" spans="1:9" ht="15.95" customHeight="1" x14ac:dyDescent="0.25">
      <c r="E398" s="17"/>
      <c r="F398" s="17"/>
      <c r="I398" s="19"/>
    </row>
    <row r="399" spans="1:9" ht="15.95" customHeight="1" x14ac:dyDescent="0.25">
      <c r="E399" s="17"/>
      <c r="F399" s="17"/>
      <c r="I399" s="19"/>
    </row>
    <row r="400" spans="1:9" ht="15.95" customHeight="1" x14ac:dyDescent="0.25">
      <c r="E400" s="17"/>
      <c r="F400" s="17"/>
      <c r="I400" s="19"/>
    </row>
    <row r="401" spans="1:9" ht="15.95" customHeight="1" x14ac:dyDescent="0.25">
      <c r="E401" s="17"/>
      <c r="F401" s="17"/>
      <c r="I401" s="19"/>
    </row>
    <row r="402" spans="1:9" ht="15.95" customHeight="1" x14ac:dyDescent="0.25">
      <c r="E402" s="17"/>
      <c r="F402" s="17"/>
      <c r="I402" s="19"/>
    </row>
    <row r="403" spans="1:9" ht="15.95" customHeight="1" x14ac:dyDescent="0.25">
      <c r="E403" s="17"/>
      <c r="F403" s="17"/>
      <c r="I403" s="19"/>
    </row>
    <row r="404" spans="1:9" ht="15.95" customHeight="1" x14ac:dyDescent="0.25">
      <c r="A404" s="28"/>
      <c r="E404" s="17"/>
      <c r="F404" s="17"/>
      <c r="I404" s="19"/>
    </row>
    <row r="405" spans="1:9" ht="15.95" customHeight="1" x14ac:dyDescent="0.25">
      <c r="E405" s="17"/>
      <c r="F405" s="17"/>
      <c r="I405" s="19"/>
    </row>
    <row r="406" spans="1:9" ht="15.95" customHeight="1" x14ac:dyDescent="0.25">
      <c r="E406" s="17"/>
      <c r="F406" s="17"/>
      <c r="I406" s="19"/>
    </row>
    <row r="407" spans="1:9" ht="15.95" customHeight="1" x14ac:dyDescent="0.25">
      <c r="E407" s="17"/>
      <c r="F407" s="17"/>
      <c r="I407" s="19"/>
    </row>
    <row r="408" spans="1:9" ht="15.95" customHeight="1" x14ac:dyDescent="0.25">
      <c r="E408" s="17"/>
      <c r="F408" s="17"/>
      <c r="I408" s="19"/>
    </row>
    <row r="409" spans="1:9" ht="15.95" customHeight="1" x14ac:dyDescent="0.25">
      <c r="E409" s="17"/>
      <c r="F409" s="17"/>
      <c r="I409" s="19"/>
    </row>
    <row r="410" spans="1:9" ht="15.95" customHeight="1" x14ac:dyDescent="0.25">
      <c r="E410" s="17"/>
      <c r="F410" s="17"/>
      <c r="I410" s="19"/>
    </row>
    <row r="411" spans="1:9" ht="15.95" customHeight="1" x14ac:dyDescent="0.25">
      <c r="E411" s="17"/>
      <c r="F411" s="17"/>
      <c r="I411" s="19"/>
    </row>
    <row r="412" spans="1:9" ht="15.95" customHeight="1" x14ac:dyDescent="0.25">
      <c r="E412" s="17"/>
      <c r="F412" s="17"/>
      <c r="I412" s="19"/>
    </row>
    <row r="413" spans="1:9" ht="15.95" customHeight="1" x14ac:dyDescent="0.25">
      <c r="A413" s="28"/>
      <c r="E413" s="17"/>
      <c r="F413" s="17"/>
      <c r="I413" s="19"/>
    </row>
    <row r="414" spans="1:9" ht="15.95" customHeight="1" x14ac:dyDescent="0.25">
      <c r="E414" s="17"/>
      <c r="F414" s="17"/>
      <c r="I414" s="19"/>
    </row>
    <row r="415" spans="1:9" ht="15.95" customHeight="1" x14ac:dyDescent="0.25">
      <c r="E415" s="17"/>
      <c r="F415" s="17"/>
      <c r="I415" s="19"/>
    </row>
    <row r="416" spans="1:9" ht="15.95" customHeight="1" x14ac:dyDescent="0.25">
      <c r="E416" s="17"/>
      <c r="F416" s="17"/>
      <c r="I416" s="19"/>
    </row>
    <row r="417" spans="1:9" ht="15.95" customHeight="1" x14ac:dyDescent="0.25">
      <c r="E417" s="17"/>
      <c r="F417" s="17"/>
      <c r="I417" s="19"/>
    </row>
    <row r="418" spans="1:9" ht="15.95" customHeight="1" x14ac:dyDescent="0.25">
      <c r="E418" s="17"/>
      <c r="F418" s="17"/>
      <c r="I418" s="19"/>
    </row>
    <row r="419" spans="1:9" ht="15.95" customHeight="1" x14ac:dyDescent="0.25">
      <c r="E419" s="17"/>
      <c r="F419" s="17"/>
      <c r="I419" s="19"/>
    </row>
    <row r="420" spans="1:9" ht="15.95" customHeight="1" x14ac:dyDescent="0.25">
      <c r="E420" s="17"/>
      <c r="F420" s="17"/>
      <c r="I420" s="19"/>
    </row>
    <row r="421" spans="1:9" ht="15.95" customHeight="1" x14ac:dyDescent="0.25">
      <c r="E421" s="17"/>
      <c r="F421" s="17"/>
      <c r="I421" s="19"/>
    </row>
    <row r="422" spans="1:9" ht="15.95" customHeight="1" x14ac:dyDescent="0.25">
      <c r="A422" s="28"/>
      <c r="E422" s="17"/>
      <c r="F422" s="17"/>
      <c r="I422" s="19"/>
    </row>
    <row r="423" spans="1:9" ht="15.95" customHeight="1" x14ac:dyDescent="0.25">
      <c r="E423" s="17"/>
      <c r="F423" s="17"/>
      <c r="I423" s="19"/>
    </row>
    <row r="424" spans="1:9" ht="15.95" customHeight="1" x14ac:dyDescent="0.25">
      <c r="E424" s="17"/>
      <c r="F424" s="17"/>
      <c r="I424" s="19"/>
    </row>
    <row r="425" spans="1:9" ht="15.95" customHeight="1" x14ac:dyDescent="0.25">
      <c r="E425" s="17"/>
      <c r="F425" s="17"/>
      <c r="I425" s="19"/>
    </row>
    <row r="426" spans="1:9" ht="15.95" customHeight="1" x14ac:dyDescent="0.25">
      <c r="E426" s="17"/>
      <c r="F426" s="17"/>
      <c r="I426" s="19"/>
    </row>
    <row r="427" spans="1:9" ht="15.95" customHeight="1" x14ac:dyDescent="0.25">
      <c r="E427" s="17"/>
      <c r="F427" s="17"/>
      <c r="I427" s="19"/>
    </row>
    <row r="428" spans="1:9" ht="15.95" customHeight="1" x14ac:dyDescent="0.25">
      <c r="E428" s="17"/>
      <c r="F428" s="17"/>
      <c r="I428" s="19"/>
    </row>
    <row r="429" spans="1:9" ht="15.95" customHeight="1" x14ac:dyDescent="0.25">
      <c r="E429" s="17"/>
      <c r="F429" s="17"/>
      <c r="I429" s="19"/>
    </row>
    <row r="430" spans="1:9" ht="15.95" customHeight="1" x14ac:dyDescent="0.25">
      <c r="E430" s="17"/>
      <c r="F430" s="17"/>
      <c r="I430" s="19"/>
    </row>
    <row r="431" spans="1:9" ht="15.95" customHeight="1" x14ac:dyDescent="0.25">
      <c r="A431" s="28"/>
      <c r="E431" s="17"/>
      <c r="F431" s="17"/>
      <c r="I431" s="19"/>
    </row>
    <row r="432" spans="1:9" ht="15.95" customHeight="1" x14ac:dyDescent="0.25">
      <c r="E432" s="17"/>
      <c r="F432" s="17"/>
      <c r="I432" s="19"/>
    </row>
    <row r="433" spans="1:9" ht="15.95" customHeight="1" x14ac:dyDescent="0.25">
      <c r="E433" s="17"/>
      <c r="F433" s="17"/>
      <c r="I433" s="19"/>
    </row>
    <row r="434" spans="1:9" ht="15.95" customHeight="1" x14ac:dyDescent="0.25">
      <c r="E434" s="17"/>
      <c r="F434" s="17"/>
      <c r="I434" s="19"/>
    </row>
    <row r="435" spans="1:9" ht="15.95" customHeight="1" x14ac:dyDescent="0.25">
      <c r="E435" s="17"/>
      <c r="F435" s="17"/>
      <c r="I435" s="19"/>
    </row>
    <row r="436" spans="1:9" ht="15.95" customHeight="1" x14ac:dyDescent="0.25">
      <c r="E436" s="17"/>
      <c r="F436" s="17"/>
      <c r="I436" s="19"/>
    </row>
    <row r="437" spans="1:9" ht="15.95" customHeight="1" x14ac:dyDescent="0.25">
      <c r="E437" s="17"/>
      <c r="F437" s="17"/>
      <c r="I437" s="19"/>
    </row>
    <row r="438" spans="1:9" ht="15.95" customHeight="1" x14ac:dyDescent="0.25">
      <c r="E438" s="17"/>
      <c r="F438" s="17"/>
      <c r="I438" s="19"/>
    </row>
    <row r="439" spans="1:9" ht="15.95" customHeight="1" x14ac:dyDescent="0.25">
      <c r="E439" s="17"/>
      <c r="F439" s="17"/>
      <c r="I439" s="19"/>
    </row>
    <row r="440" spans="1:9" ht="15.95" customHeight="1" x14ac:dyDescent="0.25">
      <c r="A440" s="28"/>
      <c r="E440" s="17"/>
      <c r="F440" s="17"/>
      <c r="I440" s="19"/>
    </row>
    <row r="441" spans="1:9" ht="15.95" customHeight="1" x14ac:dyDescent="0.25">
      <c r="E441" s="17"/>
      <c r="F441" s="17"/>
      <c r="I441" s="19"/>
    </row>
    <row r="442" spans="1:9" ht="15.95" customHeight="1" x14ac:dyDescent="0.25">
      <c r="E442" s="17"/>
      <c r="F442" s="17"/>
      <c r="I442" s="19"/>
    </row>
    <row r="443" spans="1:9" ht="15.95" customHeight="1" x14ac:dyDescent="0.25">
      <c r="E443" s="17"/>
      <c r="F443" s="17"/>
      <c r="I443" s="19"/>
    </row>
    <row r="444" spans="1:9" ht="15.95" customHeight="1" x14ac:dyDescent="0.25">
      <c r="E444" s="17"/>
      <c r="F444" s="17"/>
      <c r="I444" s="19"/>
    </row>
    <row r="445" spans="1:9" ht="15.95" customHeight="1" x14ac:dyDescent="0.25">
      <c r="E445" s="17"/>
      <c r="F445" s="17"/>
      <c r="I445" s="19"/>
    </row>
    <row r="446" spans="1:9" ht="15.95" customHeight="1" x14ac:dyDescent="0.25">
      <c r="E446" s="17"/>
      <c r="F446" s="17"/>
      <c r="I446" s="19"/>
    </row>
    <row r="447" spans="1:9" ht="15.95" customHeight="1" x14ac:dyDescent="0.25">
      <c r="E447" s="17"/>
      <c r="F447" s="17"/>
      <c r="I447" s="19"/>
    </row>
    <row r="448" spans="1:9" ht="15.95" customHeight="1" x14ac:dyDescent="0.25">
      <c r="E448" s="17"/>
      <c r="F448" s="17"/>
      <c r="I448" s="19"/>
    </row>
    <row r="449" spans="1:9" ht="15.95" customHeight="1" x14ac:dyDescent="0.25">
      <c r="A449" s="28"/>
      <c r="E449" s="17"/>
      <c r="F449" s="17"/>
      <c r="I449" s="19"/>
    </row>
    <row r="450" spans="1:9" ht="15.95" customHeight="1" x14ac:dyDescent="0.25">
      <c r="E450" s="17"/>
      <c r="F450" s="17"/>
      <c r="I450" s="19"/>
    </row>
    <row r="451" spans="1:9" ht="15.95" customHeight="1" x14ac:dyDescent="0.25">
      <c r="E451" s="17"/>
      <c r="F451" s="17"/>
      <c r="I451" s="19"/>
    </row>
    <row r="452" spans="1:9" ht="15.95" customHeight="1" x14ac:dyDescent="0.25">
      <c r="E452" s="17"/>
      <c r="F452" s="17"/>
      <c r="I452" s="19"/>
    </row>
    <row r="453" spans="1:9" ht="15.95" customHeight="1" x14ac:dyDescent="0.25">
      <c r="E453" s="17"/>
      <c r="F453" s="17"/>
      <c r="I453" s="19"/>
    </row>
    <row r="454" spans="1:9" ht="15.95" customHeight="1" x14ac:dyDescent="0.25">
      <c r="E454" s="17"/>
      <c r="F454" s="17"/>
      <c r="I454" s="19"/>
    </row>
    <row r="455" spans="1:9" ht="15.95" customHeight="1" x14ac:dyDescent="0.25">
      <c r="E455" s="17"/>
      <c r="F455" s="17"/>
      <c r="I455" s="19"/>
    </row>
    <row r="456" spans="1:9" ht="15.95" customHeight="1" x14ac:dyDescent="0.25">
      <c r="E456" s="17"/>
      <c r="F456" s="17"/>
      <c r="I456" s="19"/>
    </row>
    <row r="457" spans="1:9" ht="15.95" customHeight="1" x14ac:dyDescent="0.25">
      <c r="E457" s="17"/>
      <c r="F457" s="17"/>
      <c r="I457" s="19"/>
    </row>
    <row r="458" spans="1:9" ht="15.95" customHeight="1" x14ac:dyDescent="0.25">
      <c r="A458" s="28"/>
      <c r="E458" s="17"/>
      <c r="F458" s="17"/>
      <c r="I458" s="19"/>
    </row>
    <row r="459" spans="1:9" ht="15.95" customHeight="1" x14ac:dyDescent="0.25">
      <c r="E459" s="17"/>
      <c r="F459" s="17"/>
      <c r="I459" s="19"/>
    </row>
    <row r="460" spans="1:9" ht="15.95" customHeight="1" x14ac:dyDescent="0.25">
      <c r="E460" s="17"/>
      <c r="F460" s="17"/>
      <c r="I460" s="19"/>
    </row>
    <row r="461" spans="1:9" ht="15.95" customHeight="1" x14ac:dyDescent="0.25">
      <c r="E461" s="17"/>
      <c r="F461" s="17"/>
      <c r="I461" s="19"/>
    </row>
    <row r="462" spans="1:9" ht="15.95" customHeight="1" x14ac:dyDescent="0.25">
      <c r="E462" s="17"/>
      <c r="F462" s="17"/>
      <c r="I462" s="19"/>
    </row>
    <row r="463" spans="1:9" ht="15.95" customHeight="1" x14ac:dyDescent="0.25">
      <c r="E463" s="17"/>
      <c r="F463" s="17"/>
      <c r="I463" s="19"/>
    </row>
    <row r="464" spans="1:9" ht="15.95" customHeight="1" x14ac:dyDescent="0.25">
      <c r="E464" s="17"/>
      <c r="F464" s="17"/>
      <c r="I464" s="19"/>
    </row>
    <row r="465" spans="1:9" ht="15.95" customHeight="1" x14ac:dyDescent="0.25">
      <c r="E465" s="17"/>
      <c r="F465" s="17"/>
      <c r="I465" s="19"/>
    </row>
    <row r="466" spans="1:9" ht="15.95" customHeight="1" x14ac:dyDescent="0.25">
      <c r="E466" s="17"/>
      <c r="F466" s="17"/>
      <c r="I466" s="19"/>
    </row>
    <row r="467" spans="1:9" ht="15.95" customHeight="1" x14ac:dyDescent="0.25">
      <c r="A467" s="28"/>
      <c r="E467" s="17"/>
      <c r="F467" s="17"/>
      <c r="I467" s="19"/>
    </row>
    <row r="468" spans="1:9" ht="15.95" customHeight="1" x14ac:dyDescent="0.25">
      <c r="E468" s="17"/>
      <c r="F468" s="17"/>
      <c r="I468" s="19"/>
    </row>
    <row r="469" spans="1:9" ht="15.95" customHeight="1" x14ac:dyDescent="0.25">
      <c r="E469" s="17"/>
      <c r="F469" s="17"/>
      <c r="I469" s="19"/>
    </row>
    <row r="470" spans="1:9" ht="15.95" customHeight="1" x14ac:dyDescent="0.25">
      <c r="E470" s="17"/>
      <c r="F470" s="17"/>
      <c r="I470" s="19"/>
    </row>
    <row r="471" spans="1:9" ht="15.95" customHeight="1" x14ac:dyDescent="0.25">
      <c r="E471" s="17"/>
      <c r="F471" s="17"/>
      <c r="I471" s="19"/>
    </row>
    <row r="472" spans="1:9" ht="15.95" customHeight="1" x14ac:dyDescent="0.25">
      <c r="E472" s="17"/>
      <c r="F472" s="17"/>
      <c r="I472" s="19"/>
    </row>
    <row r="473" spans="1:9" ht="15.95" customHeight="1" x14ac:dyDescent="0.25">
      <c r="E473" s="17"/>
      <c r="F473" s="17"/>
      <c r="I473" s="19"/>
    </row>
    <row r="474" spans="1:9" ht="15.95" customHeight="1" x14ac:dyDescent="0.25">
      <c r="E474" s="17"/>
      <c r="F474" s="17"/>
      <c r="I474" s="19"/>
    </row>
    <row r="475" spans="1:9" ht="15.95" customHeight="1" x14ac:dyDescent="0.25">
      <c r="E475" s="17"/>
      <c r="F475" s="17"/>
      <c r="I475" s="19"/>
    </row>
    <row r="476" spans="1:9" ht="15.95" customHeight="1" x14ac:dyDescent="0.25">
      <c r="A476" s="28"/>
      <c r="E476" s="17"/>
      <c r="F476" s="17"/>
      <c r="I476" s="19"/>
    </row>
    <row r="477" spans="1:9" ht="15.95" customHeight="1" x14ac:dyDescent="0.25">
      <c r="E477" s="17"/>
      <c r="F477" s="17"/>
      <c r="I477" s="19"/>
    </row>
    <row r="478" spans="1:9" ht="15.95" customHeight="1" x14ac:dyDescent="0.25">
      <c r="E478" s="17"/>
      <c r="F478" s="17"/>
      <c r="I478" s="19"/>
    </row>
    <row r="479" spans="1:9" ht="15.95" customHeight="1" x14ac:dyDescent="0.25">
      <c r="E479" s="17"/>
      <c r="F479" s="17"/>
      <c r="I479" s="19"/>
    </row>
    <row r="480" spans="1:9" ht="15.95" customHeight="1" x14ac:dyDescent="0.25">
      <c r="E480" s="17"/>
      <c r="F480" s="17"/>
      <c r="I480" s="19"/>
    </row>
    <row r="481" spans="1:9" ht="15.95" customHeight="1" x14ac:dyDescent="0.25">
      <c r="E481" s="17"/>
      <c r="F481" s="17"/>
      <c r="I481" s="19"/>
    </row>
    <row r="482" spans="1:9" ht="15.95" customHeight="1" x14ac:dyDescent="0.25">
      <c r="E482" s="17"/>
      <c r="F482" s="17"/>
      <c r="I482" s="19"/>
    </row>
    <row r="483" spans="1:9" ht="15.95" customHeight="1" x14ac:dyDescent="0.25">
      <c r="E483" s="17"/>
      <c r="F483" s="17"/>
      <c r="I483" s="19"/>
    </row>
    <row r="484" spans="1:9" ht="15.95" customHeight="1" x14ac:dyDescent="0.25">
      <c r="E484" s="17"/>
      <c r="F484" s="17"/>
      <c r="I484" s="19"/>
    </row>
    <row r="485" spans="1:9" ht="15.95" customHeight="1" x14ac:dyDescent="0.25">
      <c r="A485" s="28"/>
      <c r="E485" s="17"/>
      <c r="F485" s="17"/>
      <c r="I485" s="19"/>
    </row>
    <row r="486" spans="1:9" ht="15.95" customHeight="1" x14ac:dyDescent="0.25">
      <c r="E486" s="17"/>
      <c r="F486" s="17"/>
      <c r="I486" s="19"/>
    </row>
    <row r="487" spans="1:9" ht="15.95" customHeight="1" x14ac:dyDescent="0.25">
      <c r="E487" s="17"/>
      <c r="F487" s="17"/>
      <c r="I487" s="19"/>
    </row>
    <row r="488" spans="1:9" ht="15.95" customHeight="1" x14ac:dyDescent="0.25">
      <c r="E488" s="17"/>
      <c r="F488" s="17"/>
      <c r="I488" s="19"/>
    </row>
    <row r="489" spans="1:9" ht="15.95" customHeight="1" x14ac:dyDescent="0.25">
      <c r="E489" s="17"/>
      <c r="F489" s="17"/>
      <c r="I489" s="19"/>
    </row>
    <row r="490" spans="1:9" ht="15.95" customHeight="1" x14ac:dyDescent="0.25">
      <c r="E490" s="17"/>
      <c r="F490" s="17"/>
      <c r="I490" s="19"/>
    </row>
    <row r="491" spans="1:9" ht="15.95" customHeight="1" x14ac:dyDescent="0.25">
      <c r="E491" s="17"/>
      <c r="F491" s="17"/>
      <c r="I491" s="19"/>
    </row>
    <row r="492" spans="1:9" ht="15.95" customHeight="1" x14ac:dyDescent="0.25">
      <c r="E492" s="17"/>
      <c r="F492" s="17"/>
      <c r="I492" s="19"/>
    </row>
    <row r="493" spans="1:9" ht="15.95" customHeight="1" x14ac:dyDescent="0.25">
      <c r="E493" s="17"/>
      <c r="F493" s="17"/>
      <c r="I493" s="19"/>
    </row>
    <row r="494" spans="1:9" ht="15.95" customHeight="1" x14ac:dyDescent="0.25">
      <c r="A494" s="28"/>
      <c r="E494" s="17"/>
      <c r="F494" s="17"/>
      <c r="I494" s="19"/>
    </row>
    <row r="495" spans="1:9" ht="15.95" customHeight="1" x14ac:dyDescent="0.25">
      <c r="E495" s="17"/>
      <c r="F495" s="17"/>
      <c r="I495" s="19"/>
    </row>
    <row r="496" spans="1:9" ht="15.95" customHeight="1" x14ac:dyDescent="0.25">
      <c r="E496" s="17"/>
      <c r="F496" s="17"/>
      <c r="I496" s="19"/>
    </row>
    <row r="497" spans="1:9" ht="15.95" customHeight="1" x14ac:dyDescent="0.25">
      <c r="E497" s="17"/>
      <c r="F497" s="17"/>
      <c r="I497" s="19"/>
    </row>
    <row r="498" spans="1:9" ht="15.95" customHeight="1" x14ac:dyDescent="0.25">
      <c r="E498" s="17"/>
      <c r="F498" s="17"/>
      <c r="I498" s="19"/>
    </row>
    <row r="499" spans="1:9" ht="15.95" customHeight="1" x14ac:dyDescent="0.25">
      <c r="E499" s="17"/>
      <c r="F499" s="17"/>
      <c r="I499" s="19"/>
    </row>
    <row r="500" spans="1:9" ht="15.95" customHeight="1" x14ac:dyDescent="0.25">
      <c r="E500" s="17"/>
      <c r="F500" s="17"/>
      <c r="I500" s="19"/>
    </row>
    <row r="501" spans="1:9" ht="15.95" customHeight="1" x14ac:dyDescent="0.25">
      <c r="E501" s="17"/>
      <c r="F501" s="17"/>
      <c r="I501" s="19"/>
    </row>
    <row r="502" spans="1:9" ht="15.95" customHeight="1" x14ac:dyDescent="0.25">
      <c r="E502" s="17"/>
      <c r="F502" s="17"/>
      <c r="I502" s="19"/>
    </row>
    <row r="503" spans="1:9" ht="15.95" customHeight="1" x14ac:dyDescent="0.25">
      <c r="A503" s="28"/>
      <c r="E503" s="17"/>
      <c r="F503" s="17"/>
      <c r="I503" s="19"/>
    </row>
    <row r="504" spans="1:9" ht="15.95" customHeight="1" x14ac:dyDescent="0.25">
      <c r="E504" s="17"/>
      <c r="F504" s="17"/>
      <c r="I504" s="19"/>
    </row>
    <row r="505" spans="1:9" ht="15.95" customHeight="1" x14ac:dyDescent="0.25">
      <c r="E505" s="17"/>
      <c r="F505" s="17"/>
      <c r="I505" s="19"/>
    </row>
    <row r="506" spans="1:9" ht="15.95" customHeight="1" x14ac:dyDescent="0.25">
      <c r="E506" s="17"/>
      <c r="F506" s="17"/>
      <c r="I506" s="19"/>
    </row>
    <row r="507" spans="1:9" ht="15.95" customHeight="1" x14ac:dyDescent="0.25">
      <c r="E507" s="17"/>
      <c r="F507" s="17"/>
      <c r="I507" s="19"/>
    </row>
    <row r="508" spans="1:9" ht="15.95" customHeight="1" x14ac:dyDescent="0.25">
      <c r="E508" s="17"/>
      <c r="F508" s="17"/>
      <c r="I508" s="19"/>
    </row>
    <row r="509" spans="1:9" ht="15.95" customHeight="1" x14ac:dyDescent="0.25">
      <c r="E509" s="17"/>
      <c r="F509" s="17"/>
      <c r="I509" s="19"/>
    </row>
    <row r="510" spans="1:9" ht="15.95" customHeight="1" x14ac:dyDescent="0.25">
      <c r="E510" s="17"/>
      <c r="F510" s="17"/>
      <c r="I510" s="19"/>
    </row>
    <row r="511" spans="1:9" ht="15.95" customHeight="1" x14ac:dyDescent="0.25">
      <c r="E511" s="17"/>
      <c r="F511" s="17"/>
      <c r="I511" s="19"/>
    </row>
    <row r="512" spans="1:9" ht="15.95" customHeight="1" x14ac:dyDescent="0.25">
      <c r="A512" s="28"/>
      <c r="E512" s="17"/>
      <c r="F512" s="17"/>
      <c r="I512" s="19"/>
    </row>
    <row r="513" spans="1:9" ht="15.95" customHeight="1" x14ac:dyDescent="0.25">
      <c r="E513" s="17"/>
      <c r="F513" s="17"/>
      <c r="I513" s="19"/>
    </row>
    <row r="514" spans="1:9" ht="15.95" customHeight="1" x14ac:dyDescent="0.25">
      <c r="E514" s="17"/>
      <c r="F514" s="17"/>
      <c r="I514" s="19"/>
    </row>
    <row r="515" spans="1:9" ht="15.95" customHeight="1" x14ac:dyDescent="0.25">
      <c r="E515" s="17"/>
      <c r="F515" s="17"/>
      <c r="I515" s="19"/>
    </row>
    <row r="516" spans="1:9" ht="15.95" customHeight="1" x14ac:dyDescent="0.25">
      <c r="E516" s="17"/>
      <c r="F516" s="17"/>
      <c r="I516" s="19"/>
    </row>
    <row r="517" spans="1:9" ht="15.95" customHeight="1" x14ac:dyDescent="0.25">
      <c r="E517" s="17"/>
      <c r="F517" s="17"/>
      <c r="I517" s="19"/>
    </row>
    <row r="518" spans="1:9" ht="15.95" customHeight="1" x14ac:dyDescent="0.25">
      <c r="E518" s="17"/>
      <c r="F518" s="17"/>
      <c r="I518" s="19"/>
    </row>
    <row r="519" spans="1:9" ht="15.95" customHeight="1" x14ac:dyDescent="0.25">
      <c r="E519" s="17"/>
      <c r="F519" s="17"/>
      <c r="I519" s="19"/>
    </row>
    <row r="520" spans="1:9" ht="15.95" customHeight="1" x14ac:dyDescent="0.25">
      <c r="E520" s="17"/>
      <c r="F520" s="17"/>
      <c r="I520" s="19"/>
    </row>
    <row r="521" spans="1:9" ht="15.95" customHeight="1" x14ac:dyDescent="0.25">
      <c r="A521" s="28"/>
      <c r="E521" s="17"/>
      <c r="F521" s="17"/>
      <c r="I521" s="19"/>
    </row>
    <row r="522" spans="1:9" ht="15.95" customHeight="1" x14ac:dyDescent="0.25">
      <c r="E522" s="17"/>
      <c r="F522" s="17"/>
      <c r="I522" s="19"/>
    </row>
    <row r="523" spans="1:9" ht="15.95" customHeight="1" x14ac:dyDescent="0.25">
      <c r="E523" s="17"/>
      <c r="F523" s="17"/>
      <c r="I523" s="19"/>
    </row>
    <row r="524" spans="1:9" ht="15.95" customHeight="1" x14ac:dyDescent="0.25">
      <c r="E524" s="17"/>
      <c r="F524" s="17"/>
      <c r="I524" s="19"/>
    </row>
    <row r="525" spans="1:9" ht="15.95" customHeight="1" x14ac:dyDescent="0.25">
      <c r="E525" s="17"/>
      <c r="F525" s="17"/>
      <c r="I525" s="19"/>
    </row>
    <row r="526" spans="1:9" ht="15.95" customHeight="1" x14ac:dyDescent="0.25">
      <c r="E526" s="17"/>
      <c r="F526" s="17"/>
      <c r="I526" s="19"/>
    </row>
    <row r="527" spans="1:9" ht="15.95" customHeight="1" x14ac:dyDescent="0.25">
      <c r="E527" s="17"/>
      <c r="F527" s="17"/>
      <c r="I527" s="19"/>
    </row>
    <row r="528" spans="1:9" ht="15.95" customHeight="1" x14ac:dyDescent="0.25">
      <c r="E528" s="17"/>
      <c r="F528" s="17"/>
      <c r="I528" s="19"/>
    </row>
    <row r="529" spans="1:9" ht="15.95" customHeight="1" x14ac:dyDescent="0.25">
      <c r="E529" s="17"/>
      <c r="F529" s="17"/>
      <c r="I529" s="19"/>
    </row>
    <row r="530" spans="1:9" ht="15.95" customHeight="1" x14ac:dyDescent="0.25">
      <c r="A530" s="28"/>
      <c r="E530" s="17"/>
      <c r="F530" s="17"/>
      <c r="I530" s="19"/>
    </row>
    <row r="531" spans="1:9" ht="15.95" customHeight="1" x14ac:dyDescent="0.25">
      <c r="E531" s="17"/>
      <c r="F531" s="17"/>
      <c r="I531" s="19"/>
    </row>
    <row r="532" spans="1:9" ht="15.95" customHeight="1" x14ac:dyDescent="0.25">
      <c r="E532" s="17"/>
      <c r="F532" s="17"/>
      <c r="I532" s="19"/>
    </row>
    <row r="533" spans="1:9" ht="15.95" customHeight="1" x14ac:dyDescent="0.25">
      <c r="E533" s="17"/>
      <c r="F533" s="17"/>
      <c r="I533" s="19"/>
    </row>
    <row r="534" spans="1:9" ht="15.95" customHeight="1" x14ac:dyDescent="0.25">
      <c r="E534" s="17"/>
      <c r="F534" s="17"/>
      <c r="I534" s="19"/>
    </row>
    <row r="535" spans="1:9" ht="15.95" customHeight="1" x14ac:dyDescent="0.25">
      <c r="E535" s="17"/>
      <c r="F535" s="17"/>
      <c r="I535" s="19"/>
    </row>
    <row r="536" spans="1:9" ht="15.95" customHeight="1" x14ac:dyDescent="0.25">
      <c r="E536" s="17"/>
      <c r="F536" s="17"/>
      <c r="I536" s="19"/>
    </row>
    <row r="537" spans="1:9" ht="15.95" customHeight="1" x14ac:dyDescent="0.25">
      <c r="E537" s="17"/>
      <c r="F537" s="17"/>
      <c r="I537" s="19"/>
    </row>
    <row r="538" spans="1:9" ht="15.95" customHeight="1" x14ac:dyDescent="0.25">
      <c r="E538" s="17"/>
      <c r="F538" s="17"/>
      <c r="I538" s="19"/>
    </row>
    <row r="539" spans="1:9" ht="15.95" customHeight="1" x14ac:dyDescent="0.25">
      <c r="A539" s="28"/>
      <c r="E539" s="17"/>
      <c r="F539" s="17"/>
      <c r="I539" s="19"/>
    </row>
    <row r="540" spans="1:9" ht="15.95" customHeight="1" x14ac:dyDescent="0.25">
      <c r="E540" s="17"/>
      <c r="F540" s="17"/>
      <c r="I540" s="19"/>
    </row>
    <row r="541" spans="1:9" ht="15.95" customHeight="1" x14ac:dyDescent="0.25">
      <c r="E541" s="17"/>
      <c r="F541" s="17"/>
      <c r="I541" s="19"/>
    </row>
    <row r="542" spans="1:9" ht="15.95" customHeight="1" x14ac:dyDescent="0.25">
      <c r="E542" s="17"/>
      <c r="F542" s="17"/>
      <c r="I542" s="19"/>
    </row>
    <row r="543" spans="1:9" ht="15.95" customHeight="1" x14ac:dyDescent="0.25">
      <c r="E543" s="17"/>
      <c r="F543" s="17"/>
      <c r="I543" s="19"/>
    </row>
    <row r="544" spans="1:9" ht="15.95" customHeight="1" x14ac:dyDescent="0.25">
      <c r="E544" s="17"/>
      <c r="F544" s="17"/>
      <c r="I544" s="19"/>
    </row>
    <row r="545" spans="1:9" ht="15.95" customHeight="1" x14ac:dyDescent="0.25">
      <c r="E545" s="17"/>
      <c r="F545" s="17"/>
      <c r="I545" s="19"/>
    </row>
    <row r="546" spans="1:9" ht="15.95" customHeight="1" x14ac:dyDescent="0.25">
      <c r="E546" s="17"/>
      <c r="F546" s="17"/>
      <c r="I546" s="19"/>
    </row>
    <row r="547" spans="1:9" ht="15.95" customHeight="1" x14ac:dyDescent="0.25">
      <c r="E547" s="17"/>
      <c r="F547" s="17"/>
      <c r="I547" s="19"/>
    </row>
    <row r="548" spans="1:9" ht="15.95" customHeight="1" x14ac:dyDescent="0.25">
      <c r="A548" s="28"/>
      <c r="E548" s="17"/>
      <c r="F548" s="17"/>
      <c r="I548" s="19"/>
    </row>
    <row r="549" spans="1:9" ht="15.95" customHeight="1" x14ac:dyDescent="0.25">
      <c r="E549" s="17"/>
      <c r="F549" s="17"/>
      <c r="I549" s="19"/>
    </row>
    <row r="550" spans="1:9" ht="15.95" customHeight="1" x14ac:dyDescent="0.25">
      <c r="E550" s="17"/>
      <c r="F550" s="17"/>
      <c r="I550" s="19"/>
    </row>
    <row r="551" spans="1:9" ht="15.95" customHeight="1" x14ac:dyDescent="0.25">
      <c r="E551" s="17"/>
      <c r="F551" s="17"/>
      <c r="I551" s="19"/>
    </row>
    <row r="552" spans="1:9" ht="15.95" customHeight="1" x14ac:dyDescent="0.25">
      <c r="E552" s="17"/>
      <c r="F552" s="17"/>
      <c r="I552" s="19"/>
    </row>
    <row r="553" spans="1:9" ht="15.95" customHeight="1" x14ac:dyDescent="0.25">
      <c r="E553" s="17"/>
      <c r="F553" s="17"/>
      <c r="I553" s="19"/>
    </row>
    <row r="554" spans="1:9" ht="15.95" customHeight="1" x14ac:dyDescent="0.25">
      <c r="E554" s="17"/>
      <c r="F554" s="17"/>
      <c r="I554" s="19"/>
    </row>
    <row r="555" spans="1:9" ht="15.95" customHeight="1" x14ac:dyDescent="0.25">
      <c r="E555" s="17"/>
      <c r="F555" s="17"/>
      <c r="I555" s="19"/>
    </row>
    <row r="556" spans="1:9" ht="15.95" customHeight="1" x14ac:dyDescent="0.25">
      <c r="E556" s="17"/>
      <c r="F556" s="17"/>
      <c r="I556" s="19"/>
    </row>
    <row r="557" spans="1:9" ht="15.95" customHeight="1" x14ac:dyDescent="0.25">
      <c r="A557" s="28"/>
      <c r="E557" s="17"/>
      <c r="F557" s="17"/>
      <c r="I557" s="19"/>
    </row>
    <row r="558" spans="1:9" ht="15.95" customHeight="1" x14ac:dyDescent="0.25">
      <c r="E558" s="17"/>
      <c r="F558" s="17"/>
      <c r="I558" s="19"/>
    </row>
    <row r="559" spans="1:9" ht="15.95" customHeight="1" x14ac:dyDescent="0.25">
      <c r="E559" s="17"/>
      <c r="F559" s="17"/>
      <c r="I559" s="19"/>
    </row>
    <row r="560" spans="1:9" ht="15.95" customHeight="1" x14ac:dyDescent="0.25">
      <c r="E560" s="17"/>
      <c r="F560" s="17"/>
      <c r="I560" s="19"/>
    </row>
    <row r="561" spans="1:9" ht="15.95" customHeight="1" x14ac:dyDescent="0.25">
      <c r="E561" s="17"/>
      <c r="F561" s="17"/>
      <c r="I561" s="19"/>
    </row>
    <row r="562" spans="1:9" ht="15.95" customHeight="1" x14ac:dyDescent="0.25">
      <c r="E562" s="17"/>
      <c r="F562" s="17"/>
      <c r="I562" s="19"/>
    </row>
    <row r="563" spans="1:9" ht="15.95" customHeight="1" x14ac:dyDescent="0.25">
      <c r="E563" s="17"/>
      <c r="F563" s="17"/>
      <c r="I563" s="19"/>
    </row>
    <row r="564" spans="1:9" ht="15.95" customHeight="1" x14ac:dyDescent="0.25">
      <c r="E564" s="17"/>
      <c r="F564" s="17"/>
      <c r="I564" s="19"/>
    </row>
    <row r="565" spans="1:9" ht="15.95" customHeight="1" x14ac:dyDescent="0.25">
      <c r="E565" s="17"/>
      <c r="F565" s="17"/>
      <c r="I565" s="19"/>
    </row>
    <row r="566" spans="1:9" ht="15.95" customHeight="1" x14ac:dyDescent="0.25">
      <c r="A566" s="28"/>
      <c r="E566" s="17"/>
      <c r="F566" s="17"/>
      <c r="I566" s="19"/>
    </row>
    <row r="567" spans="1:9" ht="15.95" customHeight="1" x14ac:dyDescent="0.25">
      <c r="E567" s="17"/>
      <c r="F567" s="17"/>
      <c r="I567" s="19"/>
    </row>
    <row r="568" spans="1:9" ht="15.95" customHeight="1" x14ac:dyDescent="0.25">
      <c r="E568" s="17"/>
      <c r="F568" s="17"/>
      <c r="I568" s="19"/>
    </row>
    <row r="569" spans="1:9" ht="15.95" customHeight="1" x14ac:dyDescent="0.25">
      <c r="E569" s="17"/>
      <c r="F569" s="17"/>
      <c r="I569" s="19"/>
    </row>
    <row r="570" spans="1:9" ht="15.95" customHeight="1" x14ac:dyDescent="0.25">
      <c r="E570" s="17"/>
      <c r="F570" s="17"/>
      <c r="I570" s="19"/>
    </row>
    <row r="571" spans="1:9" ht="15.95" customHeight="1" x14ac:dyDescent="0.25">
      <c r="E571" s="17"/>
      <c r="F571" s="17"/>
      <c r="I571" s="19"/>
    </row>
    <row r="572" spans="1:9" ht="15.95" customHeight="1" x14ac:dyDescent="0.25">
      <c r="E572" s="17"/>
      <c r="F572" s="17"/>
      <c r="I572" s="19"/>
    </row>
    <row r="573" spans="1:9" ht="15.95" customHeight="1" x14ac:dyDescent="0.25">
      <c r="E573" s="17"/>
      <c r="F573" s="17"/>
      <c r="I573" s="19"/>
    </row>
    <row r="574" spans="1:9" ht="15.95" customHeight="1" x14ac:dyDescent="0.25">
      <c r="E574" s="17"/>
      <c r="F574" s="17"/>
      <c r="I574" s="19"/>
    </row>
    <row r="575" spans="1:9" ht="15.95" customHeight="1" x14ac:dyDescent="0.25">
      <c r="A575" s="28"/>
      <c r="E575" s="17"/>
      <c r="F575" s="17"/>
      <c r="I575" s="19"/>
    </row>
    <row r="576" spans="1:9" ht="15.95" customHeight="1" x14ac:dyDescent="0.25">
      <c r="E576" s="17"/>
      <c r="F576" s="17"/>
      <c r="I576" s="19"/>
    </row>
    <row r="577" spans="1:9" ht="15.95" customHeight="1" x14ac:dyDescent="0.25">
      <c r="E577" s="17"/>
      <c r="F577" s="17"/>
      <c r="I577" s="19"/>
    </row>
    <row r="578" spans="1:9" ht="15.95" customHeight="1" x14ac:dyDescent="0.25">
      <c r="E578" s="17"/>
      <c r="F578" s="17"/>
      <c r="I578" s="19"/>
    </row>
    <row r="579" spans="1:9" ht="15.95" customHeight="1" x14ac:dyDescent="0.25">
      <c r="E579" s="17"/>
      <c r="F579" s="17"/>
      <c r="I579" s="19"/>
    </row>
    <row r="580" spans="1:9" ht="15.95" customHeight="1" x14ac:dyDescent="0.25">
      <c r="E580" s="17"/>
      <c r="F580" s="17"/>
      <c r="I580" s="19"/>
    </row>
    <row r="581" spans="1:9" ht="15.95" customHeight="1" x14ac:dyDescent="0.25">
      <c r="E581" s="17"/>
      <c r="F581" s="17"/>
      <c r="I581" s="19"/>
    </row>
    <row r="582" spans="1:9" ht="15.95" customHeight="1" x14ac:dyDescent="0.25">
      <c r="E582" s="17"/>
      <c r="F582" s="17"/>
      <c r="I582" s="19"/>
    </row>
    <row r="583" spans="1:9" ht="15.95" customHeight="1" x14ac:dyDescent="0.25">
      <c r="E583" s="17"/>
      <c r="F583" s="17"/>
      <c r="I583" s="19"/>
    </row>
    <row r="584" spans="1:9" ht="15.95" customHeight="1" x14ac:dyDescent="0.25">
      <c r="A584" s="28"/>
      <c r="E584" s="17"/>
      <c r="F584" s="17"/>
      <c r="I584" s="19"/>
    </row>
    <row r="585" spans="1:9" ht="15.95" customHeight="1" x14ac:dyDescent="0.25">
      <c r="E585" s="17"/>
      <c r="F585" s="17"/>
      <c r="I585" s="19"/>
    </row>
    <row r="586" spans="1:9" ht="15.95" customHeight="1" x14ac:dyDescent="0.25">
      <c r="E586" s="17"/>
      <c r="F586" s="17"/>
      <c r="I586" s="19"/>
    </row>
    <row r="587" spans="1:9" ht="15.95" customHeight="1" x14ac:dyDescent="0.25">
      <c r="E587" s="17"/>
      <c r="F587" s="17"/>
      <c r="I587" s="19"/>
    </row>
    <row r="588" spans="1:9" ht="15.95" customHeight="1" x14ac:dyDescent="0.25">
      <c r="E588" s="17"/>
      <c r="F588" s="17"/>
      <c r="I588" s="19"/>
    </row>
    <row r="589" spans="1:9" ht="15.95" customHeight="1" x14ac:dyDescent="0.25">
      <c r="E589" s="17"/>
      <c r="F589" s="17"/>
      <c r="I589" s="19"/>
    </row>
    <row r="590" spans="1:9" ht="15.95" customHeight="1" x14ac:dyDescent="0.25">
      <c r="E590" s="17"/>
      <c r="F590" s="17"/>
      <c r="I590" s="19"/>
    </row>
    <row r="591" spans="1:9" ht="15.95" customHeight="1" x14ac:dyDescent="0.25">
      <c r="E591" s="17"/>
      <c r="F591" s="17"/>
      <c r="I591" s="19"/>
    </row>
    <row r="592" spans="1:9" ht="15.95" customHeight="1" x14ac:dyDescent="0.25">
      <c r="E592" s="17"/>
      <c r="F592" s="17"/>
      <c r="I592" s="19"/>
    </row>
    <row r="593" spans="1:9" ht="15.95" customHeight="1" x14ac:dyDescent="0.25">
      <c r="A593" s="28"/>
      <c r="E593" s="17"/>
      <c r="F593" s="17"/>
      <c r="I593" s="19"/>
    </row>
    <row r="594" spans="1:9" ht="15.95" customHeight="1" x14ac:dyDescent="0.25">
      <c r="E594" s="17"/>
      <c r="F594" s="17"/>
      <c r="I594" s="19"/>
    </row>
    <row r="595" spans="1:9" ht="15.95" customHeight="1" x14ac:dyDescent="0.25">
      <c r="E595" s="17"/>
      <c r="F595" s="17"/>
      <c r="I595" s="19"/>
    </row>
    <row r="596" spans="1:9" ht="15.95" customHeight="1" x14ac:dyDescent="0.25">
      <c r="E596" s="17"/>
      <c r="F596" s="17"/>
      <c r="I596" s="19"/>
    </row>
    <row r="597" spans="1:9" ht="15.95" customHeight="1" x14ac:dyDescent="0.25">
      <c r="E597" s="17"/>
      <c r="F597" s="17"/>
      <c r="I597" s="19"/>
    </row>
    <row r="598" spans="1:9" ht="15.95" customHeight="1" x14ac:dyDescent="0.25">
      <c r="E598" s="17"/>
      <c r="F598" s="17"/>
      <c r="I598" s="19"/>
    </row>
    <row r="599" spans="1:9" ht="15.95" customHeight="1" x14ac:dyDescent="0.25">
      <c r="E599" s="17"/>
      <c r="F599" s="17"/>
      <c r="I599" s="19"/>
    </row>
    <row r="600" spans="1:9" ht="15.95" customHeight="1" x14ac:dyDescent="0.25">
      <c r="E600" s="17"/>
      <c r="F600" s="17"/>
      <c r="I600" s="19"/>
    </row>
    <row r="601" spans="1:9" ht="15.95" customHeight="1" x14ac:dyDescent="0.25">
      <c r="E601" s="17"/>
      <c r="F601" s="17"/>
      <c r="I601" s="19"/>
    </row>
    <row r="602" spans="1:9" ht="15.95" customHeight="1" x14ac:dyDescent="0.25">
      <c r="A602" s="28"/>
      <c r="E602" s="17"/>
      <c r="F602" s="17"/>
      <c r="I602" s="19"/>
    </row>
    <row r="603" spans="1:9" ht="15.95" customHeight="1" x14ac:dyDescent="0.25">
      <c r="E603" s="17"/>
      <c r="F603" s="17"/>
      <c r="I603" s="19"/>
    </row>
    <row r="604" spans="1:9" ht="15.95" customHeight="1" x14ac:dyDescent="0.25">
      <c r="E604" s="17"/>
      <c r="F604" s="17"/>
      <c r="I604" s="19"/>
    </row>
    <row r="605" spans="1:9" ht="15.95" customHeight="1" x14ac:dyDescent="0.25">
      <c r="E605" s="17"/>
      <c r="F605" s="17"/>
      <c r="I605" s="19"/>
    </row>
    <row r="606" spans="1:9" ht="15.95" customHeight="1" x14ac:dyDescent="0.25">
      <c r="E606" s="17"/>
      <c r="F606" s="17"/>
      <c r="I606" s="19"/>
    </row>
    <row r="607" spans="1:9" ht="15.95" customHeight="1" x14ac:dyDescent="0.25">
      <c r="E607" s="17"/>
      <c r="F607" s="17"/>
      <c r="I607" s="19"/>
    </row>
    <row r="608" spans="1:9" ht="15.95" customHeight="1" x14ac:dyDescent="0.25">
      <c r="E608" s="17"/>
      <c r="F608" s="17"/>
      <c r="I608" s="19"/>
    </row>
    <row r="609" spans="1:9" ht="15.95" customHeight="1" x14ac:dyDescent="0.25">
      <c r="E609" s="17"/>
      <c r="F609" s="17"/>
      <c r="I609" s="19"/>
    </row>
    <row r="610" spans="1:9" ht="15.95" customHeight="1" x14ac:dyDescent="0.25">
      <c r="E610" s="17"/>
      <c r="F610" s="17"/>
      <c r="I610" s="19"/>
    </row>
    <row r="611" spans="1:9" ht="15.95" customHeight="1" x14ac:dyDescent="0.25">
      <c r="A611" s="28"/>
      <c r="E611" s="17"/>
      <c r="F611" s="17"/>
      <c r="I611" s="19"/>
    </row>
    <row r="612" spans="1:9" ht="15.95" customHeight="1" x14ac:dyDescent="0.25">
      <c r="E612" s="17"/>
      <c r="F612" s="17"/>
      <c r="I612" s="19"/>
    </row>
    <row r="613" spans="1:9" ht="15.95" customHeight="1" x14ac:dyDescent="0.25">
      <c r="E613" s="17"/>
      <c r="F613" s="17"/>
      <c r="I613" s="19"/>
    </row>
    <row r="614" spans="1:9" ht="15.95" customHeight="1" x14ac:dyDescent="0.25">
      <c r="E614" s="17"/>
      <c r="F614" s="17"/>
      <c r="I614" s="19"/>
    </row>
    <row r="615" spans="1:9" ht="15.95" customHeight="1" x14ac:dyDescent="0.25">
      <c r="E615" s="17"/>
      <c r="F615" s="17"/>
      <c r="I615" s="19"/>
    </row>
    <row r="616" spans="1:9" ht="15.95" customHeight="1" x14ac:dyDescent="0.25">
      <c r="E616" s="17"/>
      <c r="F616" s="17"/>
      <c r="I616" s="19"/>
    </row>
    <row r="617" spans="1:9" ht="15.95" customHeight="1" x14ac:dyDescent="0.25">
      <c r="E617" s="17"/>
      <c r="F617" s="17"/>
      <c r="I617" s="19"/>
    </row>
    <row r="618" spans="1:9" ht="15.95" customHeight="1" x14ac:dyDescent="0.25">
      <c r="E618" s="17"/>
      <c r="F618" s="17"/>
      <c r="I618" s="19"/>
    </row>
    <row r="619" spans="1:9" ht="15.95" customHeight="1" x14ac:dyDescent="0.25">
      <c r="E619" s="17"/>
      <c r="F619" s="17"/>
      <c r="I619" s="19"/>
    </row>
    <row r="620" spans="1:9" ht="15.95" customHeight="1" x14ac:dyDescent="0.25">
      <c r="A620" s="28"/>
      <c r="E620" s="17"/>
      <c r="F620" s="17"/>
      <c r="I620" s="19"/>
    </row>
    <row r="621" spans="1:9" ht="15.95" customHeight="1" x14ac:dyDescent="0.25">
      <c r="E621" s="17"/>
      <c r="F621" s="17"/>
      <c r="I621" s="19"/>
    </row>
    <row r="622" spans="1:9" ht="15.95" customHeight="1" x14ac:dyDescent="0.25">
      <c r="E622" s="17"/>
      <c r="F622" s="17"/>
      <c r="I622" s="19"/>
    </row>
    <row r="623" spans="1:9" ht="15.95" customHeight="1" x14ac:dyDescent="0.25">
      <c r="E623" s="17"/>
      <c r="F623" s="17"/>
      <c r="I623" s="19"/>
    </row>
    <row r="624" spans="1:9" ht="15.95" customHeight="1" x14ac:dyDescent="0.25">
      <c r="E624" s="17"/>
      <c r="F624" s="17"/>
      <c r="I624" s="19"/>
    </row>
    <row r="625" spans="1:9" ht="15.95" customHeight="1" x14ac:dyDescent="0.25">
      <c r="E625" s="17"/>
      <c r="F625" s="17"/>
      <c r="I625" s="19"/>
    </row>
    <row r="626" spans="1:9" ht="15.95" customHeight="1" x14ac:dyDescent="0.25">
      <c r="E626" s="17"/>
      <c r="F626" s="17"/>
      <c r="I626" s="19"/>
    </row>
    <row r="627" spans="1:9" ht="15.95" customHeight="1" x14ac:dyDescent="0.25">
      <c r="E627" s="17"/>
      <c r="F627" s="17"/>
      <c r="I627" s="19"/>
    </row>
    <row r="628" spans="1:9" ht="15.95" customHeight="1" x14ac:dyDescent="0.25">
      <c r="E628" s="17"/>
      <c r="F628" s="17"/>
      <c r="I628" s="19"/>
    </row>
    <row r="629" spans="1:9" ht="15.95" customHeight="1" x14ac:dyDescent="0.25">
      <c r="A629" s="28"/>
      <c r="E629" s="17"/>
      <c r="F629" s="17"/>
      <c r="I629" s="19"/>
    </row>
    <row r="630" spans="1:9" ht="15.95" customHeight="1" x14ac:dyDescent="0.25">
      <c r="E630" s="17"/>
      <c r="F630" s="17"/>
      <c r="I630" s="19"/>
    </row>
    <row r="631" spans="1:9" ht="15.95" customHeight="1" x14ac:dyDescent="0.25">
      <c r="E631" s="17"/>
      <c r="F631" s="17"/>
      <c r="I631" s="19"/>
    </row>
    <row r="632" spans="1:9" ht="15.95" customHeight="1" x14ac:dyDescent="0.25">
      <c r="E632" s="17"/>
      <c r="F632" s="17"/>
      <c r="I632" s="19"/>
    </row>
    <row r="633" spans="1:9" ht="15.95" customHeight="1" x14ac:dyDescent="0.25">
      <c r="E633" s="17"/>
      <c r="F633" s="17"/>
      <c r="I633" s="19"/>
    </row>
    <row r="634" spans="1:9" ht="15.95" customHeight="1" x14ac:dyDescent="0.25">
      <c r="E634" s="17"/>
      <c r="F634" s="17"/>
      <c r="I634" s="19"/>
    </row>
    <row r="635" spans="1:9" ht="15.95" customHeight="1" x14ac:dyDescent="0.25">
      <c r="E635" s="17"/>
      <c r="F635" s="17"/>
      <c r="I635" s="19"/>
    </row>
    <row r="636" spans="1:9" ht="15.95" customHeight="1" x14ac:dyDescent="0.25">
      <c r="E636" s="17"/>
      <c r="F636" s="17"/>
      <c r="I636" s="19"/>
    </row>
    <row r="637" spans="1:9" ht="15.95" customHeight="1" x14ac:dyDescent="0.25">
      <c r="E637" s="17"/>
      <c r="F637" s="17"/>
      <c r="I637" s="19"/>
    </row>
    <row r="638" spans="1:9" ht="15.95" customHeight="1" x14ac:dyDescent="0.25">
      <c r="A638" s="28"/>
      <c r="E638" s="17"/>
      <c r="F638" s="17"/>
      <c r="I638" s="19"/>
    </row>
    <row r="639" spans="1:9" ht="15.95" customHeight="1" x14ac:dyDescent="0.25">
      <c r="E639" s="17"/>
      <c r="F639" s="17"/>
      <c r="I639" s="19"/>
    </row>
    <row r="640" spans="1:9" ht="15.95" customHeight="1" x14ac:dyDescent="0.25">
      <c r="E640" s="17"/>
      <c r="F640" s="17"/>
      <c r="I640" s="19"/>
    </row>
    <row r="641" spans="1:9" ht="15.95" customHeight="1" x14ac:dyDescent="0.25">
      <c r="E641" s="17"/>
      <c r="F641" s="17"/>
      <c r="I641" s="19"/>
    </row>
    <row r="642" spans="1:9" ht="15.95" customHeight="1" x14ac:dyDescent="0.25">
      <c r="E642" s="17"/>
      <c r="F642" s="17"/>
      <c r="I642" s="19"/>
    </row>
    <row r="643" spans="1:9" ht="15.95" customHeight="1" x14ac:dyDescent="0.25">
      <c r="E643" s="17"/>
      <c r="F643" s="17"/>
      <c r="I643" s="19"/>
    </row>
    <row r="644" spans="1:9" ht="15.95" customHeight="1" x14ac:dyDescent="0.25">
      <c r="E644" s="17"/>
      <c r="F644" s="17"/>
      <c r="I644" s="19"/>
    </row>
    <row r="645" spans="1:9" ht="15.95" customHeight="1" x14ac:dyDescent="0.25">
      <c r="E645" s="17"/>
      <c r="F645" s="17"/>
      <c r="I645" s="19"/>
    </row>
    <row r="646" spans="1:9" ht="15.95" customHeight="1" x14ac:dyDescent="0.25">
      <c r="E646" s="17"/>
      <c r="F646" s="17"/>
      <c r="I646" s="19"/>
    </row>
    <row r="647" spans="1:9" ht="15.95" customHeight="1" x14ac:dyDescent="0.25">
      <c r="A647" s="28"/>
      <c r="E647" s="17"/>
      <c r="F647" s="17"/>
      <c r="I647" s="19"/>
    </row>
    <row r="648" spans="1:9" ht="15.95" customHeight="1" x14ac:dyDescent="0.25">
      <c r="E648" s="17"/>
      <c r="F648" s="17"/>
      <c r="I648" s="19"/>
    </row>
    <row r="649" spans="1:9" ht="15.95" customHeight="1" x14ac:dyDescent="0.25">
      <c r="E649" s="17"/>
      <c r="F649" s="17"/>
      <c r="I649" s="19"/>
    </row>
    <row r="650" spans="1:9" ht="15.95" customHeight="1" x14ac:dyDescent="0.25">
      <c r="E650" s="17"/>
      <c r="F650" s="17"/>
      <c r="I650" s="19"/>
    </row>
    <row r="651" spans="1:9" ht="15.95" customHeight="1" x14ac:dyDescent="0.25">
      <c r="E651" s="17"/>
      <c r="F651" s="17"/>
      <c r="I651" s="19"/>
    </row>
    <row r="652" spans="1:9" ht="15.95" customHeight="1" x14ac:dyDescent="0.25">
      <c r="E652" s="17"/>
      <c r="F652" s="17"/>
      <c r="I652" s="19"/>
    </row>
    <row r="653" spans="1:9" ht="15.95" customHeight="1" x14ac:dyDescent="0.25">
      <c r="E653" s="17"/>
      <c r="F653" s="17"/>
      <c r="I653" s="19"/>
    </row>
    <row r="654" spans="1:9" ht="15.95" customHeight="1" x14ac:dyDescent="0.25">
      <c r="E654" s="17"/>
      <c r="F654" s="17"/>
      <c r="I654" s="19"/>
    </row>
    <row r="655" spans="1:9" ht="15.95" customHeight="1" x14ac:dyDescent="0.25">
      <c r="E655" s="17"/>
      <c r="F655" s="17"/>
      <c r="I655" s="19"/>
    </row>
    <row r="656" spans="1:9" ht="15.95" customHeight="1" x14ac:dyDescent="0.25">
      <c r="A656" s="28"/>
      <c r="E656" s="17"/>
      <c r="F656" s="17"/>
      <c r="I656" s="19"/>
    </row>
    <row r="657" spans="1:9" ht="15.95" customHeight="1" x14ac:dyDescent="0.25">
      <c r="E657" s="17"/>
      <c r="F657" s="17"/>
      <c r="I657" s="19"/>
    </row>
    <row r="658" spans="1:9" ht="15.95" customHeight="1" x14ac:dyDescent="0.25">
      <c r="E658" s="17"/>
      <c r="F658" s="17"/>
      <c r="I658" s="19"/>
    </row>
    <row r="659" spans="1:9" ht="15.95" customHeight="1" x14ac:dyDescent="0.25">
      <c r="E659" s="17"/>
      <c r="F659" s="17"/>
      <c r="I659" s="19"/>
    </row>
    <row r="660" spans="1:9" ht="15.95" customHeight="1" x14ac:dyDescent="0.25">
      <c r="E660" s="17"/>
      <c r="F660" s="17"/>
      <c r="I660" s="19"/>
    </row>
    <row r="661" spans="1:9" ht="15.95" customHeight="1" x14ac:dyDescent="0.25">
      <c r="E661" s="17"/>
      <c r="F661" s="17"/>
      <c r="I661" s="19"/>
    </row>
    <row r="662" spans="1:9" ht="15.95" customHeight="1" x14ac:dyDescent="0.25">
      <c r="E662" s="17"/>
      <c r="F662" s="17"/>
      <c r="I662" s="19"/>
    </row>
    <row r="663" spans="1:9" ht="15.95" customHeight="1" x14ac:dyDescent="0.25">
      <c r="E663" s="17"/>
      <c r="F663" s="17"/>
      <c r="I663" s="19"/>
    </row>
    <row r="664" spans="1:9" ht="15.95" customHeight="1" x14ac:dyDescent="0.25">
      <c r="E664" s="17"/>
      <c r="F664" s="17"/>
      <c r="I664" s="19"/>
    </row>
    <row r="665" spans="1:9" ht="15.95" customHeight="1" x14ac:dyDescent="0.25">
      <c r="A665" s="28"/>
      <c r="E665" s="17"/>
      <c r="F665" s="17"/>
      <c r="I665" s="19"/>
    </row>
    <row r="666" spans="1:9" ht="15.95" customHeight="1" x14ac:dyDescent="0.25">
      <c r="E666" s="17"/>
      <c r="F666" s="17"/>
      <c r="I666" s="19"/>
    </row>
    <row r="667" spans="1:9" ht="15.95" customHeight="1" x14ac:dyDescent="0.25">
      <c r="E667" s="17"/>
      <c r="F667" s="17"/>
      <c r="I667" s="19"/>
    </row>
    <row r="668" spans="1:9" ht="15.95" customHeight="1" x14ac:dyDescent="0.25">
      <c r="E668" s="17"/>
      <c r="F668" s="17"/>
      <c r="I668" s="19"/>
    </row>
    <row r="669" spans="1:9" ht="15.95" customHeight="1" x14ac:dyDescent="0.25">
      <c r="E669" s="17"/>
      <c r="F669" s="17"/>
      <c r="I669" s="19"/>
    </row>
    <row r="670" spans="1:9" ht="15.95" customHeight="1" x14ac:dyDescent="0.25">
      <c r="E670" s="17"/>
      <c r="F670" s="17"/>
      <c r="I670" s="19"/>
    </row>
    <row r="671" spans="1:9" ht="15.95" customHeight="1" x14ac:dyDescent="0.25">
      <c r="E671" s="17"/>
      <c r="F671" s="17"/>
      <c r="I671" s="19"/>
    </row>
    <row r="672" spans="1:9" ht="15.95" customHeight="1" x14ac:dyDescent="0.25">
      <c r="E672" s="17"/>
      <c r="F672" s="17"/>
      <c r="I672" s="19"/>
    </row>
    <row r="673" spans="1:9" ht="15.95" customHeight="1" x14ac:dyDescent="0.25">
      <c r="E673" s="17"/>
      <c r="F673" s="17"/>
      <c r="I673" s="19"/>
    </row>
    <row r="674" spans="1:9" ht="15.95" customHeight="1" x14ac:dyDescent="0.25">
      <c r="A674" s="28"/>
      <c r="E674" s="17"/>
      <c r="F674" s="17"/>
      <c r="I674" s="19"/>
    </row>
    <row r="675" spans="1:9" ht="15.95" customHeight="1" x14ac:dyDescent="0.25">
      <c r="E675" s="17"/>
      <c r="F675" s="17"/>
      <c r="I675" s="19"/>
    </row>
    <row r="676" spans="1:9" ht="15.95" customHeight="1" x14ac:dyDescent="0.25">
      <c r="E676" s="17"/>
      <c r="F676" s="17"/>
      <c r="I676" s="19"/>
    </row>
    <row r="677" spans="1:9" ht="15.95" customHeight="1" x14ac:dyDescent="0.25">
      <c r="E677" s="17"/>
      <c r="F677" s="17"/>
      <c r="I677" s="19"/>
    </row>
    <row r="678" spans="1:9" ht="15.95" customHeight="1" x14ac:dyDescent="0.25">
      <c r="E678" s="17"/>
      <c r="F678" s="17"/>
      <c r="I678" s="19"/>
    </row>
    <row r="679" spans="1:9" ht="15.95" customHeight="1" x14ac:dyDescent="0.25">
      <c r="E679" s="17"/>
      <c r="F679" s="17"/>
      <c r="I679" s="19"/>
    </row>
    <row r="680" spans="1:9" ht="15.95" customHeight="1" x14ac:dyDescent="0.25">
      <c r="E680" s="17"/>
      <c r="F680" s="17"/>
      <c r="I680" s="19"/>
    </row>
    <row r="681" spans="1:9" ht="15.95" customHeight="1" x14ac:dyDescent="0.25">
      <c r="E681" s="17"/>
      <c r="F681" s="17"/>
      <c r="I681" s="19"/>
    </row>
    <row r="682" spans="1:9" ht="15.95" customHeight="1" x14ac:dyDescent="0.25">
      <c r="E682" s="17"/>
      <c r="F682" s="17"/>
      <c r="I682" s="19"/>
    </row>
    <row r="683" spans="1:9" ht="15.95" customHeight="1" x14ac:dyDescent="0.25">
      <c r="A683" s="28"/>
      <c r="E683" s="17"/>
      <c r="F683" s="17"/>
      <c r="I683" s="19"/>
    </row>
    <row r="684" spans="1:9" ht="15.95" customHeight="1" x14ac:dyDescent="0.25">
      <c r="E684" s="17"/>
      <c r="F684" s="17"/>
      <c r="I684" s="19"/>
    </row>
    <row r="685" spans="1:9" ht="15.95" customHeight="1" x14ac:dyDescent="0.25">
      <c r="E685" s="17"/>
      <c r="F685" s="17"/>
      <c r="I685" s="19"/>
    </row>
    <row r="686" spans="1:9" ht="15.95" customHeight="1" x14ac:dyDescent="0.25">
      <c r="E686" s="17"/>
      <c r="F686" s="17"/>
      <c r="I686" s="19"/>
    </row>
    <row r="687" spans="1:9" ht="15.95" customHeight="1" x14ac:dyDescent="0.25">
      <c r="E687" s="17"/>
      <c r="F687" s="17"/>
      <c r="I687" s="19"/>
    </row>
    <row r="688" spans="1:9" ht="15.95" customHeight="1" x14ac:dyDescent="0.25">
      <c r="E688" s="17"/>
      <c r="F688" s="17"/>
      <c r="I688" s="19"/>
    </row>
    <row r="689" spans="1:9" ht="15.95" customHeight="1" x14ac:dyDescent="0.25">
      <c r="E689" s="17"/>
      <c r="F689" s="17"/>
      <c r="I689" s="19"/>
    </row>
    <row r="690" spans="1:9" ht="15.95" customHeight="1" x14ac:dyDescent="0.25">
      <c r="E690" s="17"/>
      <c r="F690" s="17"/>
      <c r="I690" s="19"/>
    </row>
    <row r="691" spans="1:9" ht="15.95" customHeight="1" x14ac:dyDescent="0.25">
      <c r="E691" s="17"/>
      <c r="F691" s="17"/>
      <c r="I691" s="19"/>
    </row>
    <row r="692" spans="1:9" ht="15.95" customHeight="1" x14ac:dyDescent="0.25">
      <c r="A692" s="28"/>
      <c r="E692" s="17"/>
      <c r="F692" s="17"/>
      <c r="I692" s="19"/>
    </row>
    <row r="693" spans="1:9" ht="15.95" customHeight="1" x14ac:dyDescent="0.25">
      <c r="E693" s="17"/>
      <c r="F693" s="17"/>
      <c r="I693" s="19"/>
    </row>
    <row r="694" spans="1:9" ht="15.95" customHeight="1" x14ac:dyDescent="0.25">
      <c r="E694" s="17"/>
      <c r="F694" s="17"/>
      <c r="I694" s="19"/>
    </row>
    <row r="695" spans="1:9" ht="15.95" customHeight="1" x14ac:dyDescent="0.25">
      <c r="E695" s="17"/>
      <c r="F695" s="17"/>
      <c r="I695" s="19"/>
    </row>
    <row r="696" spans="1:9" ht="15.95" customHeight="1" x14ac:dyDescent="0.25">
      <c r="E696" s="17"/>
      <c r="F696" s="17"/>
      <c r="I696" s="19"/>
    </row>
    <row r="697" spans="1:9" ht="15.95" customHeight="1" x14ac:dyDescent="0.25">
      <c r="E697" s="17"/>
      <c r="F697" s="17"/>
      <c r="I697" s="19"/>
    </row>
    <row r="698" spans="1:9" ht="15.95" customHeight="1" x14ac:dyDescent="0.25">
      <c r="E698" s="17"/>
      <c r="F698" s="17"/>
      <c r="I698" s="19"/>
    </row>
    <row r="699" spans="1:9" ht="15.95" customHeight="1" x14ac:dyDescent="0.25">
      <c r="E699" s="17"/>
      <c r="F699" s="17"/>
      <c r="I699" s="19"/>
    </row>
    <row r="700" spans="1:9" ht="15.95" customHeight="1" x14ac:dyDescent="0.25">
      <c r="E700" s="17"/>
      <c r="F700" s="17"/>
      <c r="I700" s="19"/>
    </row>
    <row r="701" spans="1:9" ht="15.95" customHeight="1" x14ac:dyDescent="0.25">
      <c r="A701" s="28"/>
      <c r="E701" s="17"/>
      <c r="F701" s="17"/>
      <c r="I701" s="19"/>
    </row>
    <row r="702" spans="1:9" ht="15.95" customHeight="1" x14ac:dyDescent="0.25">
      <c r="E702" s="17"/>
      <c r="F702" s="17"/>
      <c r="I702" s="19"/>
    </row>
    <row r="703" spans="1:9" ht="15.95" customHeight="1" x14ac:dyDescent="0.25">
      <c r="E703" s="17"/>
      <c r="F703" s="17"/>
      <c r="I703" s="19"/>
    </row>
    <row r="704" spans="1:9" ht="15.95" customHeight="1" x14ac:dyDescent="0.25">
      <c r="E704" s="17"/>
      <c r="F704" s="17"/>
      <c r="I704" s="19"/>
    </row>
    <row r="705" spans="1:9" ht="15.95" customHeight="1" x14ac:dyDescent="0.25">
      <c r="E705" s="17"/>
      <c r="F705" s="17"/>
      <c r="I705" s="19"/>
    </row>
    <row r="706" spans="1:9" ht="15.95" customHeight="1" x14ac:dyDescent="0.25">
      <c r="E706" s="17"/>
      <c r="F706" s="17"/>
      <c r="I706" s="19"/>
    </row>
    <row r="707" spans="1:9" ht="15.95" customHeight="1" x14ac:dyDescent="0.25">
      <c r="E707" s="17"/>
      <c r="F707" s="17"/>
      <c r="I707" s="19"/>
    </row>
    <row r="708" spans="1:9" ht="15.95" customHeight="1" x14ac:dyDescent="0.25">
      <c r="E708" s="17"/>
      <c r="F708" s="17"/>
      <c r="I708" s="19"/>
    </row>
    <row r="709" spans="1:9" ht="15.95" customHeight="1" x14ac:dyDescent="0.25">
      <c r="E709" s="17"/>
      <c r="F709" s="17"/>
      <c r="I709" s="19"/>
    </row>
    <row r="710" spans="1:9" ht="15.95" customHeight="1" x14ac:dyDescent="0.25">
      <c r="A710" s="28"/>
      <c r="E710" s="17"/>
      <c r="F710" s="17"/>
      <c r="I710" s="19"/>
    </row>
    <row r="711" spans="1:9" ht="15.95" customHeight="1" x14ac:dyDescent="0.25">
      <c r="E711" s="17"/>
      <c r="F711" s="17"/>
      <c r="I711" s="19"/>
    </row>
    <row r="712" spans="1:9" ht="15.95" customHeight="1" x14ac:dyDescent="0.25">
      <c r="E712" s="17"/>
      <c r="F712" s="17"/>
      <c r="I712" s="19"/>
    </row>
    <row r="713" spans="1:9" ht="15.95" customHeight="1" x14ac:dyDescent="0.25">
      <c r="E713" s="17"/>
      <c r="F713" s="17"/>
      <c r="I713" s="19"/>
    </row>
    <row r="714" spans="1:9" ht="15.95" customHeight="1" x14ac:dyDescent="0.25">
      <c r="E714" s="17"/>
      <c r="F714" s="17"/>
      <c r="I714" s="19"/>
    </row>
    <row r="715" spans="1:9" ht="15.95" customHeight="1" x14ac:dyDescent="0.25">
      <c r="E715" s="17"/>
      <c r="F715" s="17"/>
      <c r="I715" s="19"/>
    </row>
    <row r="716" spans="1:9" ht="15.95" customHeight="1" x14ac:dyDescent="0.25">
      <c r="E716" s="17"/>
      <c r="F716" s="17"/>
      <c r="I716" s="19"/>
    </row>
    <row r="717" spans="1:9" ht="15.95" customHeight="1" x14ac:dyDescent="0.25">
      <c r="E717" s="17"/>
      <c r="F717" s="17"/>
      <c r="I717" s="19"/>
    </row>
    <row r="718" spans="1:9" ht="15.95" customHeight="1" x14ac:dyDescent="0.25">
      <c r="E718" s="17"/>
      <c r="F718" s="17"/>
      <c r="I718" s="19"/>
    </row>
    <row r="719" spans="1:9" ht="15.95" customHeight="1" x14ac:dyDescent="0.25">
      <c r="A719" s="28"/>
      <c r="E719" s="17"/>
      <c r="F719" s="17"/>
      <c r="I719" s="19"/>
    </row>
    <row r="720" spans="1:9" ht="15.95" customHeight="1" x14ac:dyDescent="0.25">
      <c r="E720" s="17"/>
      <c r="F720" s="17"/>
      <c r="I720" s="19"/>
    </row>
    <row r="721" spans="1:9" ht="15.95" customHeight="1" x14ac:dyDescent="0.25">
      <c r="E721" s="17"/>
      <c r="F721" s="17"/>
      <c r="I721" s="19"/>
    </row>
    <row r="722" spans="1:9" ht="15.95" customHeight="1" x14ac:dyDescent="0.25">
      <c r="E722" s="17"/>
      <c r="F722" s="17"/>
      <c r="I722" s="19"/>
    </row>
    <row r="723" spans="1:9" ht="15.95" customHeight="1" x14ac:dyDescent="0.25">
      <c r="E723" s="17"/>
      <c r="F723" s="17"/>
      <c r="I723" s="19"/>
    </row>
    <row r="724" spans="1:9" ht="15.95" customHeight="1" x14ac:dyDescent="0.25">
      <c r="E724" s="17"/>
      <c r="F724" s="17"/>
      <c r="I724" s="19"/>
    </row>
    <row r="725" spans="1:9" ht="15.95" customHeight="1" x14ac:dyDescent="0.25">
      <c r="E725" s="17"/>
      <c r="F725" s="17"/>
      <c r="I725" s="19"/>
    </row>
    <row r="726" spans="1:9" ht="15.95" customHeight="1" x14ac:dyDescent="0.25">
      <c r="E726" s="17"/>
      <c r="F726" s="17"/>
      <c r="I726" s="19"/>
    </row>
    <row r="727" spans="1:9" ht="15.95" customHeight="1" x14ac:dyDescent="0.25">
      <c r="E727" s="17"/>
      <c r="F727" s="17"/>
      <c r="I727" s="19"/>
    </row>
    <row r="728" spans="1:9" ht="15.95" customHeight="1" x14ac:dyDescent="0.25">
      <c r="A728" s="28"/>
      <c r="E728" s="17"/>
      <c r="F728" s="17"/>
      <c r="I728" s="19"/>
    </row>
    <row r="729" spans="1:9" ht="15.95" customHeight="1" x14ac:dyDescent="0.25">
      <c r="E729" s="17"/>
      <c r="F729" s="17"/>
      <c r="I729" s="19"/>
    </row>
    <row r="730" spans="1:9" ht="15.95" customHeight="1" x14ac:dyDescent="0.25">
      <c r="E730" s="17"/>
      <c r="F730" s="17"/>
      <c r="I730" s="19"/>
    </row>
    <row r="731" spans="1:9" ht="15.95" customHeight="1" x14ac:dyDescent="0.25">
      <c r="E731" s="17"/>
      <c r="F731" s="17"/>
      <c r="I731" s="19"/>
    </row>
    <row r="732" spans="1:9" ht="15.95" customHeight="1" x14ac:dyDescent="0.25">
      <c r="E732" s="17"/>
      <c r="F732" s="17"/>
      <c r="I732" s="19"/>
    </row>
    <row r="733" spans="1:9" ht="15.95" customHeight="1" x14ac:dyDescent="0.25">
      <c r="E733" s="17"/>
      <c r="F733" s="17"/>
      <c r="I733" s="19"/>
    </row>
    <row r="734" spans="1:9" ht="15.95" customHeight="1" x14ac:dyDescent="0.25">
      <c r="E734" s="17"/>
      <c r="F734" s="17"/>
      <c r="I734" s="19"/>
    </row>
    <row r="735" spans="1:9" ht="15.95" customHeight="1" x14ac:dyDescent="0.25">
      <c r="E735" s="17"/>
      <c r="F735" s="17"/>
      <c r="I735" s="19"/>
    </row>
    <row r="736" spans="1:9" ht="15.95" customHeight="1" x14ac:dyDescent="0.25">
      <c r="E736" s="17"/>
      <c r="F736" s="17"/>
      <c r="I736" s="19"/>
    </row>
    <row r="737" spans="1:9" ht="15.95" customHeight="1" x14ac:dyDescent="0.25">
      <c r="A737" s="28"/>
      <c r="E737" s="17"/>
      <c r="F737" s="17"/>
      <c r="I737" s="19"/>
    </row>
    <row r="738" spans="1:9" ht="15.95" customHeight="1" x14ac:dyDescent="0.25">
      <c r="E738" s="17"/>
      <c r="F738" s="17"/>
      <c r="I738" s="19"/>
    </row>
    <row r="739" spans="1:9" ht="15.95" customHeight="1" x14ac:dyDescent="0.25">
      <c r="E739" s="17"/>
      <c r="F739" s="17"/>
      <c r="I739" s="19"/>
    </row>
    <row r="740" spans="1:9" ht="15.95" customHeight="1" x14ac:dyDescent="0.25">
      <c r="E740" s="17"/>
      <c r="F740" s="17"/>
      <c r="I740" s="19"/>
    </row>
    <row r="741" spans="1:9" ht="15.95" customHeight="1" x14ac:dyDescent="0.25">
      <c r="E741" s="17"/>
      <c r="F741" s="17"/>
      <c r="I741" s="19"/>
    </row>
    <row r="742" spans="1:9" ht="15.95" customHeight="1" x14ac:dyDescent="0.25">
      <c r="E742" s="17"/>
      <c r="F742" s="17"/>
      <c r="I742" s="19"/>
    </row>
    <row r="743" spans="1:9" ht="15.95" customHeight="1" x14ac:dyDescent="0.25">
      <c r="E743" s="17"/>
      <c r="F743" s="17"/>
      <c r="I743" s="19"/>
    </row>
    <row r="744" spans="1:9" ht="15.95" customHeight="1" x14ac:dyDescent="0.25">
      <c r="E744" s="17"/>
      <c r="F744" s="17"/>
      <c r="I744" s="19"/>
    </row>
    <row r="745" spans="1:9" ht="15.95" customHeight="1" x14ac:dyDescent="0.25">
      <c r="E745" s="17"/>
      <c r="F745" s="17"/>
      <c r="I745" s="19"/>
    </row>
    <row r="746" spans="1:9" ht="15.95" customHeight="1" x14ac:dyDescent="0.25">
      <c r="A746" s="28"/>
      <c r="E746" s="17"/>
      <c r="F746" s="17"/>
      <c r="I746" s="19"/>
    </row>
    <row r="747" spans="1:9" ht="15.95" customHeight="1" x14ac:dyDescent="0.25">
      <c r="E747" s="17"/>
      <c r="F747" s="17"/>
      <c r="I747" s="19"/>
    </row>
    <row r="748" spans="1:9" ht="15.95" customHeight="1" x14ac:dyDescent="0.25">
      <c r="E748" s="17"/>
      <c r="F748" s="17"/>
      <c r="I748" s="19"/>
    </row>
    <row r="749" spans="1:9" ht="15.95" customHeight="1" x14ac:dyDescent="0.25">
      <c r="E749" s="17"/>
      <c r="F749" s="17"/>
      <c r="I749" s="19"/>
    </row>
    <row r="750" spans="1:9" ht="15.95" customHeight="1" x14ac:dyDescent="0.25">
      <c r="E750" s="17"/>
      <c r="F750" s="17"/>
      <c r="I750" s="19"/>
    </row>
    <row r="751" spans="1:9" ht="15.95" customHeight="1" x14ac:dyDescent="0.25">
      <c r="E751" s="17"/>
      <c r="F751" s="17"/>
      <c r="I751" s="19"/>
    </row>
    <row r="752" spans="1:9" ht="15.95" customHeight="1" x14ac:dyDescent="0.25">
      <c r="E752" s="17"/>
      <c r="F752" s="17"/>
      <c r="I752" s="19"/>
    </row>
    <row r="753" spans="1:9" ht="15.95" customHeight="1" x14ac:dyDescent="0.25">
      <c r="E753" s="17"/>
      <c r="F753" s="17"/>
      <c r="I753" s="19"/>
    </row>
    <row r="754" spans="1:9" ht="15.95" customHeight="1" x14ac:dyDescent="0.25">
      <c r="E754" s="17"/>
      <c r="F754" s="17"/>
      <c r="I754" s="19"/>
    </row>
    <row r="755" spans="1:9" ht="15.95" customHeight="1" x14ac:dyDescent="0.25">
      <c r="A755" s="28"/>
      <c r="E755" s="17"/>
      <c r="F755" s="17"/>
      <c r="I755" s="19"/>
    </row>
    <row r="756" spans="1:9" ht="15.95" customHeight="1" x14ac:dyDescent="0.25">
      <c r="E756" s="17"/>
      <c r="F756" s="17"/>
      <c r="I756" s="19"/>
    </row>
    <row r="757" spans="1:9" ht="15.95" customHeight="1" x14ac:dyDescent="0.25">
      <c r="E757" s="17"/>
      <c r="F757" s="17"/>
      <c r="I757" s="19"/>
    </row>
    <row r="758" spans="1:9" ht="15.95" customHeight="1" x14ac:dyDescent="0.25">
      <c r="E758" s="17"/>
      <c r="F758" s="17"/>
      <c r="I758" s="19"/>
    </row>
    <row r="759" spans="1:9" ht="15.95" customHeight="1" x14ac:dyDescent="0.25">
      <c r="E759" s="17"/>
      <c r="F759" s="17"/>
      <c r="I759" s="19"/>
    </row>
    <row r="760" spans="1:9" ht="15.95" customHeight="1" x14ac:dyDescent="0.25">
      <c r="E760" s="17"/>
      <c r="F760" s="17"/>
      <c r="I760" s="19"/>
    </row>
    <row r="761" spans="1:9" ht="15.95" customHeight="1" x14ac:dyDescent="0.25">
      <c r="E761" s="17"/>
      <c r="F761" s="17"/>
      <c r="I761" s="19"/>
    </row>
    <row r="762" spans="1:9" ht="15.95" customHeight="1" x14ac:dyDescent="0.25">
      <c r="E762" s="17"/>
      <c r="F762" s="17"/>
      <c r="I762" s="19"/>
    </row>
    <row r="763" spans="1:9" ht="15.95" customHeight="1" x14ac:dyDescent="0.25">
      <c r="E763" s="17"/>
      <c r="F763" s="17"/>
      <c r="I763" s="19"/>
    </row>
    <row r="764" spans="1:9" ht="15.95" customHeight="1" x14ac:dyDescent="0.25">
      <c r="A764" s="28"/>
      <c r="E764" s="17"/>
      <c r="F764" s="17"/>
      <c r="I764" s="19"/>
    </row>
    <row r="765" spans="1:9" ht="15.95" customHeight="1" x14ac:dyDescent="0.25">
      <c r="E765" s="17"/>
      <c r="F765" s="17"/>
      <c r="I765" s="19"/>
    </row>
    <row r="766" spans="1:9" ht="15.95" customHeight="1" x14ac:dyDescent="0.25">
      <c r="E766" s="17"/>
      <c r="F766" s="17"/>
      <c r="I766" s="19"/>
    </row>
    <row r="767" spans="1:9" ht="15.95" customHeight="1" x14ac:dyDescent="0.25">
      <c r="E767" s="17"/>
      <c r="F767" s="17"/>
      <c r="I767" s="19"/>
    </row>
    <row r="768" spans="1:9" ht="15.95" customHeight="1" x14ac:dyDescent="0.25">
      <c r="E768" s="17"/>
      <c r="F768" s="17"/>
      <c r="I768" s="19"/>
    </row>
    <row r="769" spans="1:9" ht="15.95" customHeight="1" x14ac:dyDescent="0.25">
      <c r="E769" s="17"/>
      <c r="F769" s="17"/>
      <c r="I769" s="19"/>
    </row>
    <row r="770" spans="1:9" ht="15.95" customHeight="1" x14ac:dyDescent="0.25">
      <c r="E770" s="17"/>
      <c r="F770" s="17"/>
      <c r="I770" s="19"/>
    </row>
    <row r="771" spans="1:9" ht="15.95" customHeight="1" x14ac:dyDescent="0.25">
      <c r="E771" s="17"/>
      <c r="F771" s="17"/>
      <c r="I771" s="19"/>
    </row>
    <row r="772" spans="1:9" ht="15.95" customHeight="1" x14ac:dyDescent="0.25">
      <c r="E772" s="17"/>
      <c r="F772" s="17"/>
      <c r="I772" s="19"/>
    </row>
    <row r="773" spans="1:9" ht="15.95" customHeight="1" x14ac:dyDescent="0.25">
      <c r="A773" s="28"/>
      <c r="E773" s="17"/>
      <c r="F773" s="17"/>
      <c r="I773" s="19"/>
    </row>
    <row r="774" spans="1:9" ht="15.95" customHeight="1" x14ac:dyDescent="0.25">
      <c r="E774" s="17"/>
      <c r="F774" s="17"/>
      <c r="I774" s="19"/>
    </row>
    <row r="775" spans="1:9" ht="15.95" customHeight="1" x14ac:dyDescent="0.25">
      <c r="E775" s="17"/>
      <c r="F775" s="17"/>
      <c r="I775" s="19"/>
    </row>
    <row r="776" spans="1:9" ht="15.95" customHeight="1" x14ac:dyDescent="0.25">
      <c r="E776" s="17"/>
      <c r="F776" s="17"/>
      <c r="I776" s="19"/>
    </row>
    <row r="777" spans="1:9" ht="15.95" customHeight="1" x14ac:dyDescent="0.25">
      <c r="E777" s="17"/>
      <c r="F777" s="17"/>
      <c r="I777" s="19"/>
    </row>
    <row r="778" spans="1:9" ht="15.95" customHeight="1" x14ac:dyDescent="0.25">
      <c r="E778" s="17"/>
      <c r="F778" s="17"/>
      <c r="I778" s="19"/>
    </row>
    <row r="779" spans="1:9" ht="15.95" customHeight="1" x14ac:dyDescent="0.25">
      <c r="E779" s="17"/>
      <c r="F779" s="17"/>
      <c r="I779" s="19"/>
    </row>
    <row r="780" spans="1:9" ht="15.95" customHeight="1" x14ac:dyDescent="0.25">
      <c r="E780" s="17"/>
      <c r="F780" s="17"/>
      <c r="I780" s="19"/>
    </row>
    <row r="781" spans="1:9" ht="15.95" customHeight="1" x14ac:dyDescent="0.25">
      <c r="E781" s="17"/>
      <c r="F781" s="17"/>
      <c r="I781" s="19"/>
    </row>
    <row r="782" spans="1:9" ht="15.95" customHeight="1" x14ac:dyDescent="0.25">
      <c r="A782" s="28"/>
      <c r="E782" s="17"/>
      <c r="F782" s="17"/>
      <c r="I782" s="19"/>
    </row>
    <row r="783" spans="1:9" ht="15.95" customHeight="1" x14ac:dyDescent="0.25">
      <c r="E783" s="17"/>
      <c r="F783" s="17"/>
      <c r="I783" s="19"/>
    </row>
    <row r="784" spans="1:9" ht="15.95" customHeight="1" x14ac:dyDescent="0.25">
      <c r="E784" s="17"/>
      <c r="F784" s="17"/>
      <c r="I784" s="19"/>
    </row>
    <row r="785" spans="1:9" ht="15.95" customHeight="1" x14ac:dyDescent="0.25">
      <c r="E785" s="17"/>
      <c r="F785" s="17"/>
      <c r="I785" s="19"/>
    </row>
    <row r="786" spans="1:9" ht="15.95" customHeight="1" x14ac:dyDescent="0.25">
      <c r="E786" s="17"/>
      <c r="F786" s="17"/>
      <c r="I786" s="19"/>
    </row>
    <row r="787" spans="1:9" ht="15.95" customHeight="1" x14ac:dyDescent="0.25">
      <c r="E787" s="17"/>
      <c r="F787" s="17"/>
      <c r="I787" s="19"/>
    </row>
    <row r="788" spans="1:9" ht="15.95" customHeight="1" x14ac:dyDescent="0.25">
      <c r="E788" s="17"/>
      <c r="F788" s="17"/>
      <c r="I788" s="19"/>
    </row>
    <row r="789" spans="1:9" ht="15.95" customHeight="1" x14ac:dyDescent="0.25">
      <c r="E789" s="17"/>
      <c r="F789" s="17"/>
      <c r="I789" s="19"/>
    </row>
    <row r="790" spans="1:9" ht="15.95" customHeight="1" x14ac:dyDescent="0.25">
      <c r="E790" s="17"/>
      <c r="F790" s="17"/>
      <c r="I790" s="19"/>
    </row>
    <row r="791" spans="1:9" ht="15.95" customHeight="1" x14ac:dyDescent="0.25">
      <c r="A791" s="28"/>
      <c r="E791" s="17"/>
      <c r="F791" s="17"/>
      <c r="I791" s="19"/>
    </row>
    <row r="792" spans="1:9" ht="15.95" customHeight="1" x14ac:dyDescent="0.25">
      <c r="E792" s="17"/>
      <c r="F792" s="17"/>
      <c r="I792" s="19"/>
    </row>
    <row r="793" spans="1:9" ht="15.95" customHeight="1" x14ac:dyDescent="0.25">
      <c r="E793" s="17"/>
      <c r="F793" s="17"/>
      <c r="I793" s="19"/>
    </row>
    <row r="794" spans="1:9" ht="15.95" customHeight="1" x14ac:dyDescent="0.25">
      <c r="E794" s="17"/>
      <c r="F794" s="17"/>
      <c r="I794" s="19"/>
    </row>
    <row r="795" spans="1:9" ht="15.95" customHeight="1" x14ac:dyDescent="0.25">
      <c r="E795" s="17"/>
      <c r="F795" s="17"/>
      <c r="I795" s="19"/>
    </row>
    <row r="796" spans="1:9" ht="15.95" customHeight="1" x14ac:dyDescent="0.25">
      <c r="E796" s="17"/>
      <c r="F796" s="17"/>
      <c r="I796" s="19"/>
    </row>
    <row r="797" spans="1:9" ht="15.95" customHeight="1" x14ac:dyDescent="0.25">
      <c r="E797" s="17"/>
      <c r="F797" s="17"/>
      <c r="I797" s="19"/>
    </row>
    <row r="798" spans="1:9" ht="15.95" customHeight="1" x14ac:dyDescent="0.25">
      <c r="E798" s="17"/>
      <c r="F798" s="17"/>
      <c r="I798" s="19"/>
    </row>
    <row r="799" spans="1:9" ht="15.95" customHeight="1" x14ac:dyDescent="0.25">
      <c r="E799" s="17"/>
      <c r="F799" s="17"/>
      <c r="I799" s="19"/>
    </row>
    <row r="800" spans="1:9" ht="15.95" customHeight="1" x14ac:dyDescent="0.25">
      <c r="A800" s="28"/>
      <c r="E800" s="17"/>
      <c r="F800" s="17"/>
      <c r="I800" s="19"/>
    </row>
    <row r="801" spans="1:9" ht="15.95" customHeight="1" x14ac:dyDescent="0.25">
      <c r="E801" s="17"/>
      <c r="F801" s="17"/>
      <c r="I801" s="19"/>
    </row>
    <row r="802" spans="1:9" ht="15.95" customHeight="1" x14ac:dyDescent="0.25">
      <c r="E802" s="17"/>
      <c r="F802" s="17"/>
      <c r="I802" s="19"/>
    </row>
    <row r="803" spans="1:9" ht="15.95" customHeight="1" x14ac:dyDescent="0.25">
      <c r="E803" s="17"/>
      <c r="F803" s="17"/>
      <c r="I803" s="19"/>
    </row>
    <row r="804" spans="1:9" ht="15.95" customHeight="1" x14ac:dyDescent="0.25">
      <c r="E804" s="17"/>
      <c r="F804" s="17"/>
      <c r="I804" s="19"/>
    </row>
    <row r="805" spans="1:9" ht="15.95" customHeight="1" x14ac:dyDescent="0.25">
      <c r="E805" s="17"/>
      <c r="F805" s="17"/>
      <c r="I805" s="19"/>
    </row>
    <row r="806" spans="1:9" ht="15.95" customHeight="1" x14ac:dyDescent="0.25">
      <c r="E806" s="17"/>
      <c r="F806" s="17"/>
      <c r="I806" s="19"/>
    </row>
    <row r="807" spans="1:9" ht="15.95" customHeight="1" x14ac:dyDescent="0.25">
      <c r="E807" s="17"/>
      <c r="F807" s="17"/>
      <c r="I807" s="19"/>
    </row>
    <row r="808" spans="1:9" ht="15.95" customHeight="1" x14ac:dyDescent="0.25">
      <c r="E808" s="17"/>
      <c r="F808" s="17"/>
      <c r="I808" s="19"/>
    </row>
    <row r="809" spans="1:9" ht="15.95" customHeight="1" x14ac:dyDescent="0.25">
      <c r="A809" s="28"/>
      <c r="E809" s="17"/>
      <c r="F809" s="17"/>
      <c r="I809" s="19"/>
    </row>
    <row r="810" spans="1:9" ht="15.95" customHeight="1" x14ac:dyDescent="0.25">
      <c r="E810" s="17"/>
      <c r="F810" s="17"/>
      <c r="I810" s="19"/>
    </row>
    <row r="811" spans="1:9" ht="15.95" customHeight="1" x14ac:dyDescent="0.25">
      <c r="E811" s="17"/>
      <c r="F811" s="17"/>
      <c r="I811" s="19"/>
    </row>
    <row r="812" spans="1:9" ht="15.95" customHeight="1" x14ac:dyDescent="0.25">
      <c r="E812" s="17"/>
      <c r="F812" s="17"/>
      <c r="I812" s="19"/>
    </row>
    <row r="813" spans="1:9" ht="15.95" customHeight="1" x14ac:dyDescent="0.25">
      <c r="E813" s="17"/>
      <c r="F813" s="17"/>
      <c r="I813" s="19"/>
    </row>
    <row r="814" spans="1:9" ht="15.95" customHeight="1" x14ac:dyDescent="0.25">
      <c r="E814" s="17"/>
      <c r="F814" s="17"/>
      <c r="I814" s="19"/>
    </row>
    <row r="815" spans="1:9" ht="15.95" customHeight="1" x14ac:dyDescent="0.25">
      <c r="E815" s="17"/>
      <c r="F815" s="17"/>
      <c r="I815" s="19"/>
    </row>
    <row r="816" spans="1:9" ht="15.95" customHeight="1" x14ac:dyDescent="0.25">
      <c r="E816" s="17"/>
      <c r="F816" s="17"/>
      <c r="I816" s="19"/>
    </row>
    <row r="817" spans="1:9" ht="15.95" customHeight="1" x14ac:dyDescent="0.25">
      <c r="E817" s="17"/>
      <c r="F817" s="17"/>
      <c r="I817" s="19"/>
    </row>
    <row r="818" spans="1:9" ht="15.95" customHeight="1" x14ac:dyDescent="0.25">
      <c r="A818" s="28"/>
      <c r="E818" s="17"/>
      <c r="F818" s="17"/>
      <c r="I818" s="19"/>
    </row>
    <row r="819" spans="1:9" ht="15.95" customHeight="1" x14ac:dyDescent="0.25">
      <c r="E819" s="17"/>
      <c r="F819" s="17"/>
      <c r="I819" s="19"/>
    </row>
    <row r="820" spans="1:9" ht="15.95" customHeight="1" x14ac:dyDescent="0.25">
      <c r="E820" s="17"/>
      <c r="F820" s="17"/>
      <c r="I820" s="19"/>
    </row>
    <row r="821" spans="1:9" ht="15.95" customHeight="1" x14ac:dyDescent="0.25">
      <c r="E821" s="17"/>
      <c r="F821" s="17"/>
      <c r="I821" s="19"/>
    </row>
    <row r="822" spans="1:9" ht="15.95" customHeight="1" x14ac:dyDescent="0.25">
      <c r="E822" s="17"/>
      <c r="F822" s="17"/>
      <c r="I822" s="19"/>
    </row>
    <row r="823" spans="1:9" ht="15.95" customHeight="1" x14ac:dyDescent="0.25">
      <c r="E823" s="17"/>
      <c r="F823" s="17"/>
      <c r="I823" s="19"/>
    </row>
    <row r="824" spans="1:9" ht="15.95" customHeight="1" x14ac:dyDescent="0.25">
      <c r="E824" s="17"/>
      <c r="F824" s="17"/>
      <c r="I824" s="19"/>
    </row>
    <row r="825" spans="1:9" ht="15.95" customHeight="1" x14ac:dyDescent="0.25">
      <c r="E825" s="17"/>
      <c r="F825" s="17"/>
      <c r="I825" s="19"/>
    </row>
    <row r="826" spans="1:9" ht="15.95" customHeight="1" x14ac:dyDescent="0.25">
      <c r="E826" s="17"/>
      <c r="F826" s="17"/>
      <c r="I826" s="19"/>
    </row>
    <row r="827" spans="1:9" ht="15.95" customHeight="1" x14ac:dyDescent="0.25">
      <c r="A827" s="28"/>
      <c r="E827" s="17"/>
      <c r="F827" s="17"/>
      <c r="I827" s="19"/>
    </row>
    <row r="828" spans="1:9" ht="15.95" customHeight="1" x14ac:dyDescent="0.25">
      <c r="E828" s="17"/>
      <c r="F828" s="17"/>
      <c r="I828" s="19"/>
    </row>
    <row r="829" spans="1:9" ht="15.95" customHeight="1" x14ac:dyDescent="0.25">
      <c r="E829" s="17"/>
      <c r="F829" s="17"/>
      <c r="I829" s="19"/>
    </row>
    <row r="830" spans="1:9" ht="15.95" customHeight="1" x14ac:dyDescent="0.25">
      <c r="E830" s="17"/>
      <c r="F830" s="17"/>
      <c r="I830" s="19"/>
    </row>
    <row r="831" spans="1:9" ht="15.95" customHeight="1" x14ac:dyDescent="0.25">
      <c r="E831" s="17"/>
      <c r="F831" s="17"/>
      <c r="I831" s="19"/>
    </row>
    <row r="832" spans="1:9" ht="15.95" customHeight="1" x14ac:dyDescent="0.25">
      <c r="E832" s="17"/>
      <c r="F832" s="17"/>
      <c r="I832" s="19"/>
    </row>
    <row r="833" spans="1:9" ht="15.95" customHeight="1" x14ac:dyDescent="0.25">
      <c r="E833" s="17"/>
      <c r="F833" s="17"/>
      <c r="I833" s="19"/>
    </row>
    <row r="834" spans="1:9" ht="15.95" customHeight="1" x14ac:dyDescent="0.25">
      <c r="E834" s="17"/>
      <c r="F834" s="17"/>
      <c r="I834" s="19"/>
    </row>
    <row r="835" spans="1:9" ht="15.95" customHeight="1" x14ac:dyDescent="0.25">
      <c r="E835" s="17"/>
      <c r="F835" s="17"/>
      <c r="I835" s="19"/>
    </row>
    <row r="836" spans="1:9" ht="15.95" customHeight="1" x14ac:dyDescent="0.25">
      <c r="A836" s="28"/>
      <c r="E836" s="17"/>
      <c r="F836" s="17"/>
      <c r="I836" s="19"/>
    </row>
    <row r="837" spans="1:9" ht="15.95" customHeight="1" x14ac:dyDescent="0.25">
      <c r="E837" s="17"/>
      <c r="F837" s="17"/>
      <c r="I837" s="19"/>
    </row>
    <row r="838" spans="1:9" ht="15.95" customHeight="1" x14ac:dyDescent="0.25">
      <c r="E838" s="17"/>
      <c r="F838" s="17"/>
      <c r="I838" s="19"/>
    </row>
    <row r="839" spans="1:9" ht="15.95" customHeight="1" x14ac:dyDescent="0.25">
      <c r="E839" s="17"/>
      <c r="F839" s="17"/>
      <c r="I839" s="19"/>
    </row>
    <row r="840" spans="1:9" ht="15.95" customHeight="1" x14ac:dyDescent="0.25">
      <c r="E840" s="17"/>
      <c r="F840" s="17"/>
      <c r="I840" s="19"/>
    </row>
    <row r="841" spans="1:9" ht="15.95" customHeight="1" x14ac:dyDescent="0.25">
      <c r="E841" s="17"/>
      <c r="F841" s="17"/>
      <c r="I841" s="19"/>
    </row>
    <row r="842" spans="1:9" ht="15.95" customHeight="1" x14ac:dyDescent="0.25">
      <c r="E842" s="17"/>
      <c r="F842" s="17"/>
      <c r="I842" s="19"/>
    </row>
    <row r="843" spans="1:9" ht="15.95" customHeight="1" x14ac:dyDescent="0.25">
      <c r="E843" s="17"/>
      <c r="F843" s="17"/>
      <c r="I843" s="19"/>
    </row>
    <row r="844" spans="1:9" ht="15.95" customHeight="1" x14ac:dyDescent="0.25">
      <c r="E844" s="17"/>
      <c r="F844" s="17"/>
      <c r="I844" s="19"/>
    </row>
    <row r="845" spans="1:9" ht="15.95" customHeight="1" x14ac:dyDescent="0.25">
      <c r="A845" s="28"/>
      <c r="E845" s="17"/>
      <c r="F845" s="17"/>
      <c r="I845" s="19"/>
    </row>
    <row r="846" spans="1:9" ht="15.95" customHeight="1" x14ac:dyDescent="0.25">
      <c r="E846" s="17"/>
      <c r="F846" s="17"/>
      <c r="I846" s="19"/>
    </row>
    <row r="847" spans="1:9" ht="15.95" customHeight="1" x14ac:dyDescent="0.25">
      <c r="E847" s="17"/>
      <c r="F847" s="17"/>
      <c r="I847" s="19"/>
    </row>
    <row r="848" spans="1:9" ht="15.95" customHeight="1" x14ac:dyDescent="0.25">
      <c r="E848" s="17"/>
      <c r="F848" s="17"/>
      <c r="I848" s="19"/>
    </row>
    <row r="849" spans="1:9" ht="15.95" customHeight="1" x14ac:dyDescent="0.25">
      <c r="E849" s="17"/>
      <c r="F849" s="17"/>
      <c r="I849" s="19"/>
    </row>
    <row r="850" spans="1:9" ht="15.95" customHeight="1" x14ac:dyDescent="0.25">
      <c r="E850" s="17"/>
      <c r="F850" s="17"/>
      <c r="I850" s="19"/>
    </row>
    <row r="851" spans="1:9" ht="15.95" customHeight="1" x14ac:dyDescent="0.25">
      <c r="E851" s="17"/>
      <c r="F851" s="17"/>
      <c r="I851" s="19"/>
    </row>
    <row r="852" spans="1:9" ht="15.95" customHeight="1" x14ac:dyDescent="0.25">
      <c r="E852" s="17"/>
      <c r="F852" s="17"/>
      <c r="I852" s="19"/>
    </row>
    <row r="853" spans="1:9" ht="15.95" customHeight="1" x14ac:dyDescent="0.25">
      <c r="E853" s="17"/>
      <c r="F853" s="17"/>
      <c r="I853" s="19"/>
    </row>
    <row r="854" spans="1:9" ht="15.95" customHeight="1" x14ac:dyDescent="0.25">
      <c r="A854" s="28"/>
      <c r="E854" s="17"/>
      <c r="F854" s="17"/>
      <c r="I854" s="19"/>
    </row>
    <row r="855" spans="1:9" ht="15.95" customHeight="1" x14ac:dyDescent="0.25">
      <c r="E855" s="17"/>
      <c r="F855" s="17"/>
      <c r="I855" s="19"/>
    </row>
    <row r="856" spans="1:9" ht="15.95" customHeight="1" x14ac:dyDescent="0.25">
      <c r="E856" s="17"/>
      <c r="F856" s="17"/>
      <c r="I856" s="19"/>
    </row>
    <row r="857" spans="1:9" ht="15.95" customHeight="1" x14ac:dyDescent="0.25">
      <c r="E857" s="17"/>
      <c r="F857" s="17"/>
      <c r="I857" s="19"/>
    </row>
    <row r="858" spans="1:9" ht="15.95" customHeight="1" x14ac:dyDescent="0.25">
      <c r="E858" s="17"/>
      <c r="F858" s="17"/>
      <c r="I858" s="19"/>
    </row>
    <row r="859" spans="1:9" ht="15.95" customHeight="1" x14ac:dyDescent="0.25">
      <c r="E859" s="17"/>
      <c r="F859" s="17"/>
      <c r="I859" s="19"/>
    </row>
    <row r="860" spans="1:9" ht="15.95" customHeight="1" x14ac:dyDescent="0.25">
      <c r="E860" s="17"/>
      <c r="F860" s="17"/>
      <c r="I860" s="19"/>
    </row>
    <row r="861" spans="1:9" ht="15.95" customHeight="1" x14ac:dyDescent="0.25">
      <c r="E861" s="17"/>
      <c r="F861" s="17"/>
      <c r="I861" s="19"/>
    </row>
    <row r="862" spans="1:9" ht="15.95" customHeight="1" x14ac:dyDescent="0.25">
      <c r="E862" s="17"/>
      <c r="F862" s="17"/>
      <c r="I862" s="19"/>
    </row>
    <row r="863" spans="1:9" ht="15.95" customHeight="1" x14ac:dyDescent="0.25">
      <c r="A863" s="28"/>
      <c r="E863" s="17"/>
      <c r="F863" s="17"/>
      <c r="I863" s="19"/>
    </row>
    <row r="864" spans="1:9" ht="15.95" customHeight="1" x14ac:dyDescent="0.25">
      <c r="E864" s="17"/>
      <c r="F864" s="17"/>
      <c r="I864" s="19"/>
    </row>
    <row r="865" spans="1:9" ht="15.95" customHeight="1" x14ac:dyDescent="0.25">
      <c r="E865" s="17"/>
      <c r="F865" s="17"/>
      <c r="I865" s="19"/>
    </row>
    <row r="866" spans="1:9" ht="15.95" customHeight="1" x14ac:dyDescent="0.25">
      <c r="E866" s="17"/>
      <c r="F866" s="17"/>
      <c r="I866" s="19"/>
    </row>
    <row r="867" spans="1:9" ht="15.95" customHeight="1" x14ac:dyDescent="0.25">
      <c r="E867" s="17"/>
      <c r="F867" s="17"/>
      <c r="I867" s="19"/>
    </row>
    <row r="868" spans="1:9" ht="15.95" customHeight="1" x14ac:dyDescent="0.25">
      <c r="E868" s="17"/>
      <c r="F868" s="17"/>
      <c r="I868" s="19"/>
    </row>
    <row r="869" spans="1:9" ht="15.95" customHeight="1" x14ac:dyDescent="0.25">
      <c r="E869" s="17"/>
      <c r="F869" s="17"/>
      <c r="I869" s="19"/>
    </row>
    <row r="870" spans="1:9" ht="15.95" customHeight="1" x14ac:dyDescent="0.25">
      <c r="E870" s="17"/>
      <c r="F870" s="17"/>
      <c r="I870" s="19"/>
    </row>
    <row r="871" spans="1:9" ht="15.95" customHeight="1" x14ac:dyDescent="0.25">
      <c r="E871" s="17"/>
      <c r="F871" s="17"/>
      <c r="I871" s="19"/>
    </row>
    <row r="872" spans="1:9" ht="15.95" customHeight="1" x14ac:dyDescent="0.25">
      <c r="A872" s="28"/>
      <c r="E872" s="17"/>
      <c r="F872" s="17"/>
      <c r="I872" s="19"/>
    </row>
    <row r="873" spans="1:9" ht="15.95" customHeight="1" x14ac:dyDescent="0.25">
      <c r="E873" s="17"/>
      <c r="F873" s="17"/>
      <c r="I873" s="19"/>
    </row>
    <row r="874" spans="1:9" ht="15.95" customHeight="1" x14ac:dyDescent="0.25">
      <c r="E874" s="17"/>
      <c r="F874" s="17"/>
      <c r="I874" s="19"/>
    </row>
    <row r="875" spans="1:9" ht="15.95" customHeight="1" x14ac:dyDescent="0.25">
      <c r="E875" s="17"/>
      <c r="F875" s="17"/>
      <c r="I875" s="19"/>
    </row>
    <row r="876" spans="1:9" ht="15.95" customHeight="1" x14ac:dyDescent="0.25">
      <c r="E876" s="17"/>
      <c r="F876" s="17"/>
      <c r="I876" s="19"/>
    </row>
    <row r="877" spans="1:9" ht="15.95" customHeight="1" x14ac:dyDescent="0.25">
      <c r="E877" s="17"/>
      <c r="F877" s="17"/>
      <c r="I877" s="19"/>
    </row>
    <row r="878" spans="1:9" ht="15.95" customHeight="1" x14ac:dyDescent="0.25">
      <c r="E878" s="17"/>
      <c r="F878" s="17"/>
      <c r="I878" s="19"/>
    </row>
    <row r="879" spans="1:9" ht="15.95" customHeight="1" x14ac:dyDescent="0.25">
      <c r="E879" s="17"/>
      <c r="F879" s="17"/>
      <c r="I879" s="19"/>
    </row>
    <row r="880" spans="1:9" ht="15.95" customHeight="1" x14ac:dyDescent="0.25">
      <c r="E880" s="17"/>
      <c r="F880" s="17"/>
      <c r="I880" s="19"/>
    </row>
    <row r="881" spans="1:9" ht="15.95" customHeight="1" x14ac:dyDescent="0.25">
      <c r="A881" s="28"/>
      <c r="E881" s="17"/>
      <c r="F881" s="17"/>
      <c r="I881" s="19"/>
    </row>
    <row r="882" spans="1:9" ht="15.95" customHeight="1" x14ac:dyDescent="0.25">
      <c r="E882" s="17"/>
      <c r="F882" s="17"/>
      <c r="I882" s="19"/>
    </row>
    <row r="883" spans="1:9" ht="15.95" customHeight="1" x14ac:dyDescent="0.25">
      <c r="E883" s="17"/>
      <c r="F883" s="17"/>
      <c r="I883" s="19"/>
    </row>
    <row r="884" spans="1:9" ht="15.95" customHeight="1" x14ac:dyDescent="0.25">
      <c r="E884" s="17"/>
      <c r="F884" s="17"/>
      <c r="I884" s="19"/>
    </row>
    <row r="885" spans="1:9" ht="15.95" customHeight="1" x14ac:dyDescent="0.25">
      <c r="E885" s="17"/>
      <c r="F885" s="17"/>
      <c r="I885" s="19"/>
    </row>
    <row r="886" spans="1:9" ht="15.95" customHeight="1" x14ac:dyDescent="0.25">
      <c r="E886" s="17"/>
      <c r="F886" s="17"/>
      <c r="I886" s="19"/>
    </row>
    <row r="887" spans="1:9" ht="15.95" customHeight="1" x14ac:dyDescent="0.25">
      <c r="E887" s="17"/>
      <c r="F887" s="17"/>
      <c r="I887" s="19"/>
    </row>
    <row r="888" spans="1:9" ht="15.95" customHeight="1" x14ac:dyDescent="0.25">
      <c r="E888" s="17"/>
      <c r="F888" s="17"/>
      <c r="I888" s="19"/>
    </row>
    <row r="889" spans="1:9" ht="15.95" customHeight="1" x14ac:dyDescent="0.25">
      <c r="E889" s="17"/>
      <c r="F889" s="17"/>
      <c r="I889" s="19"/>
    </row>
    <row r="890" spans="1:9" ht="15.95" customHeight="1" x14ac:dyDescent="0.25">
      <c r="A890" s="28"/>
      <c r="E890" s="17"/>
      <c r="F890" s="17"/>
      <c r="I890" s="19"/>
    </row>
    <row r="891" spans="1:9" ht="15.95" customHeight="1" x14ac:dyDescent="0.25">
      <c r="E891" s="17"/>
      <c r="F891" s="17"/>
      <c r="I891" s="19"/>
    </row>
    <row r="892" spans="1:9" ht="15.95" customHeight="1" x14ac:dyDescent="0.25">
      <c r="E892" s="17"/>
      <c r="F892" s="17"/>
      <c r="I892" s="19"/>
    </row>
    <row r="893" spans="1:9" ht="15.95" customHeight="1" x14ac:dyDescent="0.25">
      <c r="E893" s="17"/>
      <c r="F893" s="17"/>
      <c r="I893" s="19"/>
    </row>
    <row r="894" spans="1:9" ht="15.95" customHeight="1" x14ac:dyDescent="0.25">
      <c r="E894" s="17"/>
      <c r="F894" s="17"/>
      <c r="I894" s="19"/>
    </row>
    <row r="895" spans="1:9" ht="15.95" customHeight="1" x14ac:dyDescent="0.25">
      <c r="E895" s="17"/>
      <c r="F895" s="17"/>
      <c r="I895" s="19"/>
    </row>
    <row r="896" spans="1:9" ht="15.95" customHeight="1" x14ac:dyDescent="0.25">
      <c r="E896" s="17"/>
      <c r="F896" s="17"/>
      <c r="I896" s="19"/>
    </row>
    <row r="897" spans="1:9" ht="15.95" customHeight="1" x14ac:dyDescent="0.25">
      <c r="E897" s="17"/>
      <c r="F897" s="17"/>
      <c r="I897" s="19"/>
    </row>
    <row r="898" spans="1:9" ht="15.95" customHeight="1" x14ac:dyDescent="0.25">
      <c r="E898" s="17"/>
      <c r="F898" s="17"/>
      <c r="I898" s="19"/>
    </row>
    <row r="899" spans="1:9" ht="15.95" customHeight="1" x14ac:dyDescent="0.25">
      <c r="A899" s="28"/>
      <c r="E899" s="17"/>
      <c r="F899" s="17"/>
      <c r="I899" s="19"/>
    </row>
    <row r="900" spans="1:9" ht="15.95" customHeight="1" x14ac:dyDescent="0.25">
      <c r="E900" s="17"/>
      <c r="F900" s="17"/>
      <c r="I900" s="19"/>
    </row>
    <row r="901" spans="1:9" ht="15.95" customHeight="1" x14ac:dyDescent="0.25">
      <c r="E901" s="17"/>
      <c r="F901" s="17"/>
      <c r="I901" s="19"/>
    </row>
    <row r="902" spans="1:9" ht="15.95" customHeight="1" x14ac:dyDescent="0.25">
      <c r="E902" s="17"/>
      <c r="F902" s="17"/>
      <c r="I902" s="19"/>
    </row>
    <row r="903" spans="1:9" ht="15.95" customHeight="1" x14ac:dyDescent="0.25">
      <c r="E903" s="17"/>
      <c r="F903" s="17"/>
      <c r="I903" s="19"/>
    </row>
    <row r="904" spans="1:9" ht="15.95" customHeight="1" x14ac:dyDescent="0.25">
      <c r="E904" s="17"/>
      <c r="F904" s="17"/>
      <c r="I904" s="19"/>
    </row>
    <row r="905" spans="1:9" ht="15.95" customHeight="1" x14ac:dyDescent="0.25">
      <c r="E905" s="17"/>
      <c r="F905" s="17"/>
      <c r="I905" s="19"/>
    </row>
    <row r="906" spans="1:9" ht="15.95" customHeight="1" x14ac:dyDescent="0.25">
      <c r="E906" s="17"/>
      <c r="F906" s="17"/>
      <c r="I906" s="19"/>
    </row>
    <row r="907" spans="1:9" ht="15.95" customHeight="1" x14ac:dyDescent="0.25">
      <c r="E907" s="17"/>
      <c r="F907" s="17"/>
      <c r="I907" s="19"/>
    </row>
    <row r="908" spans="1:9" ht="15.95" customHeight="1" x14ac:dyDescent="0.25">
      <c r="A908" s="28"/>
      <c r="E908" s="17"/>
      <c r="F908" s="17"/>
      <c r="I908" s="19"/>
    </row>
    <row r="909" spans="1:9" ht="15.95" customHeight="1" x14ac:dyDescent="0.25">
      <c r="E909" s="17"/>
      <c r="F909" s="17"/>
      <c r="I909" s="19"/>
    </row>
    <row r="910" spans="1:9" ht="15.95" customHeight="1" x14ac:dyDescent="0.25">
      <c r="E910" s="17"/>
      <c r="F910" s="17"/>
      <c r="I910" s="19"/>
    </row>
    <row r="911" spans="1:9" ht="15.95" customHeight="1" x14ac:dyDescent="0.25">
      <c r="E911" s="17"/>
      <c r="F911" s="17"/>
      <c r="I911" s="19"/>
    </row>
    <row r="912" spans="1:9" ht="15.95" customHeight="1" x14ac:dyDescent="0.25">
      <c r="E912" s="17"/>
      <c r="F912" s="17"/>
      <c r="I912" s="19"/>
    </row>
    <row r="913" spans="1:9" ht="15.95" customHeight="1" x14ac:dyDescent="0.25">
      <c r="E913" s="17"/>
      <c r="F913" s="17"/>
      <c r="I913" s="19"/>
    </row>
    <row r="914" spans="1:9" ht="15.95" customHeight="1" x14ac:dyDescent="0.25">
      <c r="E914" s="17"/>
      <c r="F914" s="17"/>
      <c r="I914" s="19"/>
    </row>
    <row r="915" spans="1:9" ht="15.95" customHeight="1" x14ac:dyDescent="0.25">
      <c r="E915" s="17"/>
      <c r="F915" s="17"/>
      <c r="I915" s="19"/>
    </row>
    <row r="916" spans="1:9" ht="15.95" customHeight="1" x14ac:dyDescent="0.25">
      <c r="E916" s="17"/>
      <c r="F916" s="17"/>
      <c r="I916" s="19"/>
    </row>
    <row r="917" spans="1:9" ht="15.95" customHeight="1" x14ac:dyDescent="0.25">
      <c r="A917" s="28"/>
      <c r="E917" s="17"/>
      <c r="F917" s="17"/>
      <c r="I917" s="19"/>
    </row>
    <row r="918" spans="1:9" ht="15.95" customHeight="1" x14ac:dyDescent="0.25">
      <c r="E918" s="17"/>
      <c r="F918" s="17"/>
      <c r="I918" s="19"/>
    </row>
    <row r="919" spans="1:9" ht="15.95" customHeight="1" x14ac:dyDescent="0.25">
      <c r="E919" s="17"/>
      <c r="F919" s="17"/>
      <c r="I919" s="19"/>
    </row>
    <row r="920" spans="1:9" ht="15.95" customHeight="1" x14ac:dyDescent="0.25">
      <c r="E920" s="17"/>
      <c r="F920" s="17"/>
      <c r="I920" s="19"/>
    </row>
    <row r="921" spans="1:9" ht="15.95" customHeight="1" x14ac:dyDescent="0.25">
      <c r="E921" s="17"/>
      <c r="F921" s="17"/>
      <c r="I921" s="19"/>
    </row>
    <row r="922" spans="1:9" ht="15.95" customHeight="1" x14ac:dyDescent="0.25">
      <c r="E922" s="17"/>
      <c r="F922" s="17"/>
      <c r="I922" s="19"/>
    </row>
    <row r="923" spans="1:9" ht="15.95" customHeight="1" x14ac:dyDescent="0.25">
      <c r="E923" s="17"/>
      <c r="F923" s="17"/>
      <c r="I923" s="19"/>
    </row>
    <row r="924" spans="1:9" ht="15.95" customHeight="1" x14ac:dyDescent="0.25">
      <c r="E924" s="17"/>
      <c r="F924" s="17"/>
      <c r="I924" s="19"/>
    </row>
    <row r="925" spans="1:9" ht="15.95" customHeight="1" x14ac:dyDescent="0.25">
      <c r="E925" s="17"/>
      <c r="F925" s="17"/>
      <c r="I925" s="19"/>
    </row>
    <row r="926" spans="1:9" ht="15.95" customHeight="1" x14ac:dyDescent="0.25">
      <c r="A926" s="28"/>
      <c r="E926" s="17"/>
      <c r="F926" s="17"/>
      <c r="I926" s="19"/>
    </row>
    <row r="927" spans="1:9" ht="15.95" customHeight="1" x14ac:dyDescent="0.25">
      <c r="E927" s="17"/>
      <c r="F927" s="17"/>
      <c r="I927" s="19"/>
    </row>
    <row r="928" spans="1:9" ht="15.95" customHeight="1" x14ac:dyDescent="0.25">
      <c r="E928" s="17"/>
      <c r="F928" s="17"/>
      <c r="I928" s="19"/>
    </row>
    <row r="929" spans="1:9" ht="15.95" customHeight="1" x14ac:dyDescent="0.25">
      <c r="E929" s="17"/>
      <c r="F929" s="17"/>
      <c r="I929" s="19"/>
    </row>
    <row r="930" spans="1:9" ht="15.95" customHeight="1" x14ac:dyDescent="0.25">
      <c r="E930" s="17"/>
      <c r="F930" s="17"/>
      <c r="I930" s="19"/>
    </row>
    <row r="931" spans="1:9" ht="15.95" customHeight="1" x14ac:dyDescent="0.25">
      <c r="E931" s="17"/>
      <c r="F931" s="17"/>
      <c r="I931" s="19"/>
    </row>
    <row r="932" spans="1:9" ht="15.95" customHeight="1" x14ac:dyDescent="0.25">
      <c r="E932" s="17"/>
      <c r="F932" s="17"/>
      <c r="I932" s="19"/>
    </row>
    <row r="933" spans="1:9" ht="15.95" customHeight="1" x14ac:dyDescent="0.25">
      <c r="E933" s="17"/>
      <c r="F933" s="17"/>
      <c r="I933" s="19"/>
    </row>
    <row r="934" spans="1:9" ht="15.95" customHeight="1" x14ac:dyDescent="0.25">
      <c r="E934" s="17"/>
      <c r="F934" s="17"/>
      <c r="I934" s="19"/>
    </row>
    <row r="935" spans="1:9" ht="15.95" customHeight="1" x14ac:dyDescent="0.25">
      <c r="A935" s="28"/>
      <c r="E935" s="17"/>
      <c r="F935" s="17"/>
      <c r="I935" s="19"/>
    </row>
    <row r="936" spans="1:9" ht="15.95" customHeight="1" x14ac:dyDescent="0.25">
      <c r="E936" s="17"/>
      <c r="F936" s="17"/>
      <c r="I936" s="19"/>
    </row>
    <row r="937" spans="1:9" ht="15.95" customHeight="1" x14ac:dyDescent="0.25">
      <c r="E937" s="17"/>
      <c r="F937" s="17"/>
      <c r="I937" s="19"/>
    </row>
    <row r="938" spans="1:9" ht="15.95" customHeight="1" x14ac:dyDescent="0.25">
      <c r="E938" s="17"/>
      <c r="F938" s="17"/>
      <c r="I938" s="19"/>
    </row>
    <row r="939" spans="1:9" ht="15.95" customHeight="1" x14ac:dyDescent="0.25">
      <c r="E939" s="17"/>
      <c r="F939" s="17"/>
      <c r="I939" s="19"/>
    </row>
    <row r="940" spans="1:9" ht="15.95" customHeight="1" x14ac:dyDescent="0.25">
      <c r="E940" s="17"/>
      <c r="F940" s="17"/>
      <c r="I940" s="19"/>
    </row>
    <row r="941" spans="1:9" ht="15.95" customHeight="1" x14ac:dyDescent="0.25">
      <c r="E941" s="17"/>
      <c r="F941" s="17"/>
      <c r="I941" s="19"/>
    </row>
    <row r="942" spans="1:9" ht="15.95" customHeight="1" x14ac:dyDescent="0.25">
      <c r="E942" s="17"/>
      <c r="F942" s="17"/>
      <c r="I942" s="19"/>
    </row>
    <row r="943" spans="1:9" ht="15.95" customHeight="1" x14ac:dyDescent="0.25">
      <c r="E943" s="17"/>
      <c r="F943" s="17"/>
      <c r="I943" s="19"/>
    </row>
    <row r="944" spans="1:9" ht="15.95" customHeight="1" x14ac:dyDescent="0.25">
      <c r="A944" s="28"/>
      <c r="E944" s="17"/>
      <c r="F944" s="17"/>
      <c r="I944" s="19"/>
    </row>
    <row r="945" spans="1:9" ht="15.95" customHeight="1" x14ac:dyDescent="0.25">
      <c r="E945" s="17"/>
      <c r="F945" s="17"/>
      <c r="I945" s="19"/>
    </row>
    <row r="946" spans="1:9" ht="15.95" customHeight="1" x14ac:dyDescent="0.25">
      <c r="E946" s="17"/>
      <c r="F946" s="17"/>
      <c r="I946" s="19"/>
    </row>
    <row r="947" spans="1:9" ht="15.95" customHeight="1" x14ac:dyDescent="0.25">
      <c r="E947" s="17"/>
      <c r="F947" s="17"/>
      <c r="I947" s="19"/>
    </row>
    <row r="948" spans="1:9" ht="15.95" customHeight="1" x14ac:dyDescent="0.25">
      <c r="E948" s="17"/>
      <c r="F948" s="17"/>
      <c r="I948" s="19"/>
    </row>
    <row r="949" spans="1:9" ht="15.95" customHeight="1" x14ac:dyDescent="0.25">
      <c r="E949" s="17"/>
      <c r="F949" s="17"/>
      <c r="I949" s="19"/>
    </row>
    <row r="950" spans="1:9" ht="15.95" customHeight="1" x14ac:dyDescent="0.25">
      <c r="E950" s="17"/>
      <c r="F950" s="17"/>
      <c r="I950" s="19"/>
    </row>
    <row r="951" spans="1:9" ht="15.95" customHeight="1" x14ac:dyDescent="0.25">
      <c r="E951" s="17"/>
      <c r="F951" s="17"/>
      <c r="I951" s="19"/>
    </row>
    <row r="952" spans="1:9" ht="15.95" customHeight="1" x14ac:dyDescent="0.25">
      <c r="E952" s="17"/>
      <c r="F952" s="17"/>
      <c r="I952" s="19"/>
    </row>
    <row r="953" spans="1:9" ht="15.95" customHeight="1" x14ac:dyDescent="0.25">
      <c r="A953" s="28"/>
      <c r="E953" s="17"/>
      <c r="F953" s="17"/>
      <c r="I953" s="19"/>
    </row>
    <row r="954" spans="1:9" ht="15.95" customHeight="1" x14ac:dyDescent="0.25">
      <c r="E954" s="17"/>
      <c r="F954" s="17"/>
      <c r="I954" s="19"/>
    </row>
  </sheetData>
  <dataValidations count="1">
    <dataValidation type="list" showInputMessage="1" showErrorMessage="1" sqref="E1:I1048576" xr:uid="{00000000-0002-0000-0100-000000000000}">
      <formula1>"OUI,NON"</formula1>
    </dataValidation>
  </dataValidations>
  <pageMargins left="0.7" right="0.7" top="0.75" bottom="0.75" header="0.3" footer="0.3"/>
  <pageSetup orientation="portrait" r:id="rId1"/>
  <headerFooter>
    <oddFooter>&amp;C&amp;"Helvetica Neue,Regular"&amp;12 &amp;K000000&amp;P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"/>
  <sheetViews>
    <sheetView workbookViewId="0">
      <selection activeCell="A4" sqref="A4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1" customWidth="1"/>
    <col min="7" max="7" width="18.7109375" style="6" customWidth="1"/>
    <col min="8" max="16384" width="18.7109375" style="6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APPELS],BASECLIENTS[LUNDI]="Oui","")</f>
        <v/>
      </c>
      <c r="B2" s="11" t="str" cm="1">
        <f t="array" ref="B2">_xlfn._xlws.FILTER(BASECLIENTS[CODE CLIENTS],BASECLIENTS[LUNDI]="Oui","")</f>
        <v/>
      </c>
      <c r="C2" s="11" t="str" cm="1">
        <f t="array" ref="C2">_xlfn._xlws.FILTER(BASECLIENTS[NOM CLIENTS],BASECLIENTS[LUNDI]="Oui","")</f>
        <v/>
      </c>
      <c r="D2" s="11" t="str" cm="1">
        <f t="array" ref="D2">_xlfn._xlws.FILTER(BASECLIENTS[VILLE],BASECLIENTS[LUNDI]="Oui","")</f>
        <v/>
      </c>
      <c r="E2" s="11" t="str" cm="1">
        <f t="array" ref="E2">_xlfn._xlws.FILTER(BASECLIENTS[Numéro de téléphone],BASECLIENTS[LUNDI]="Oui","")</f>
        <v/>
      </c>
      <c r="F2" s="11" t="str" cm="1">
        <f t="array" ref="F2">_xlfn._xlws.FILTER(BASECLIENTS[COMMENTAIRE],BASECLIENTS[LUNDI]="Oui","")</f>
        <v/>
      </c>
    </row>
  </sheetData>
  <pageMargins left="0.25" right="0.25" top="0.75" bottom="0.75" header="0.3" footer="0.3"/>
  <pageSetup paperSize="9"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"/>
  <sheetViews>
    <sheetView workbookViewId="0">
      <selection activeCell="D21" sqref="D21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APPELS],BASECLIENTS[MARDI]="Oui","")</f>
        <v/>
      </c>
      <c r="B2" s="11" t="str" cm="1">
        <f t="array" ref="B2">_xlfn._xlws.FILTER(BASECLIENTS[CODE CLIENTS],BASECLIENTS[MARDI]="Oui","")</f>
        <v/>
      </c>
      <c r="C2" s="11" t="str" cm="1">
        <f t="array" ref="C2">_xlfn._xlws.FILTER(BASECLIENTS[NOM CLIENTS],BASECLIENTS[MARDI]="Oui","")</f>
        <v/>
      </c>
      <c r="D2" s="11" t="str" cm="1">
        <f t="array" ref="D2">_xlfn._xlws.FILTER(BASECLIENTS[VILLE],BASECLIENTS[MARDI]="Oui","")</f>
        <v/>
      </c>
      <c r="E2" s="11" t="str" cm="1">
        <f t="array" ref="E2">_xlfn._xlws.FILTER(BASECLIENTS[Numéro de téléphone],BASECLIENTS[MARDI]="Oui","")</f>
        <v/>
      </c>
      <c r="F2" s="12" t="str" cm="1">
        <f t="array" ref="F2">_xlfn._xlws.FILTER(BASECLIENTS[COMMENTAIRE],BASECLIENTS[MARDI]="Oui","")</f>
        <v/>
      </c>
    </row>
  </sheetData>
  <pageMargins left="0.25" right="0.25" top="0.75" bottom="0.75" header="0.3" footer="0.3"/>
  <pageSetup paperSize="9" scale="85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>
      <selection activeCell="C16" sqref="C16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APPELS],BASECLIENTS[MERCREDI]="Oui","")</f>
        <v/>
      </c>
      <c r="B2" s="11" t="str" cm="1">
        <f t="array" ref="B2">_xlfn._xlws.FILTER(BASECLIENTS[CODE CLIENTS],BASECLIENTS[MERCREDI]="Oui","")</f>
        <v/>
      </c>
      <c r="C2" s="11" t="str" cm="1">
        <f t="array" ref="C2">_xlfn._xlws.FILTER(BASECLIENTS[NOM CLIENTS],BASECLIENTS[MERCREDI]="Oui","")</f>
        <v/>
      </c>
      <c r="D2" s="11" t="str" cm="1">
        <f t="array" ref="D2">_xlfn._xlws.FILTER(BASECLIENTS[VILLE],BASECLIENTS[MERCREDI]="Oui","")</f>
        <v/>
      </c>
      <c r="E2" s="11" t="str" cm="1">
        <f t="array" ref="E2">_xlfn._xlws.FILTER(BASECLIENTS[Numéro de téléphone],BASECLIENTS[MERCREDI]="Oui","")</f>
        <v/>
      </c>
      <c r="F2" s="12" t="str" cm="1">
        <f t="array" ref="F2">_xlfn._xlws.FILTER(BASECLIENTS[COMMENTAIRE],BASECLIENTS[MERCREDI]="Oui","")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C2" sqref="C2"/>
    </sheetView>
  </sheetViews>
  <sheetFormatPr baseColWidth="10" defaultColWidth="18.7109375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APPELS],BASECLIENTS[JEUDI]="Oui","")</f>
        <v/>
      </c>
      <c r="B2" s="11" t="str" cm="1">
        <f t="array" ref="B2">_xlfn._xlws.FILTER(BASECLIENTS[CODE CLIENTS],BASECLIENTS[JEUDI]="Oui","")</f>
        <v/>
      </c>
      <c r="C2" s="11" t="str" cm="1">
        <f t="array" ref="C2">_xlfn._xlws.FILTER(BASECLIENTS[NOM CLIENTS],BASECLIENTS[JEUDI]="Oui","")</f>
        <v/>
      </c>
      <c r="D2" s="11" t="str" cm="1">
        <f t="array" ref="D2">_xlfn._xlws.FILTER(BASECLIENTS[VILLE],BASECLIENTS[JEUDI]="Oui","")</f>
        <v/>
      </c>
      <c r="E2" s="11" t="str" cm="1">
        <f t="array" ref="E2">_xlfn._xlws.FILTER(BASECLIENTS[Numéro de téléphone],BASECLIENTS[JEUDI]="Oui","")</f>
        <v/>
      </c>
      <c r="F2" s="12" t="str" cm="1">
        <f t="array" ref="F2">_xlfn._xlws.FILTER(BASECLIENTS[COMMENTAIRE],BASECLIENTS[JEUDI]="Oui","")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"/>
  <sheetViews>
    <sheetView workbookViewId="0">
      <selection activeCell="M19" sqref="M19"/>
    </sheetView>
  </sheetViews>
  <sheetFormatPr baseColWidth="10" defaultRowHeight="15" x14ac:dyDescent="0.25"/>
  <cols>
    <col min="1" max="1" width="18.7109375" style="30" customWidth="1"/>
    <col min="2" max="2" width="18.7109375" style="11" customWidth="1"/>
    <col min="3" max="3" width="42.140625" style="11" customWidth="1"/>
    <col min="4" max="4" width="27" style="11" customWidth="1"/>
    <col min="5" max="5" width="25.140625" style="11" customWidth="1"/>
    <col min="6" max="6" width="35.28515625" style="12" customWidth="1"/>
  </cols>
  <sheetData>
    <row r="1" spans="1:6" ht="17.25" customHeight="1" x14ac:dyDescent="0.25">
      <c r="A1" s="29" t="s">
        <v>0</v>
      </c>
      <c r="B1" s="7" t="s">
        <v>2</v>
      </c>
      <c r="C1" s="7" t="s">
        <v>1</v>
      </c>
      <c r="D1" s="8" t="s">
        <v>3</v>
      </c>
      <c r="E1" s="9" t="s">
        <v>9</v>
      </c>
      <c r="F1" s="10" t="s">
        <v>10</v>
      </c>
    </row>
    <row r="2" spans="1:6" x14ac:dyDescent="0.25">
      <c r="A2" s="30" t="str" cm="1">
        <f t="array" ref="A2">_xlfn._xlws.FILTER(BASECLIENTS[HEURE D APPELS],BASECLIENTS[VENDREDI]="Oui","")</f>
        <v/>
      </c>
      <c r="B2" s="11" t="str" cm="1">
        <f t="array" ref="B2">_xlfn._xlws.FILTER(BASECLIENTS[CODE CLIENTS],BASECLIENTS[VENDREDI]="Oui","")</f>
        <v/>
      </c>
      <c r="C2" s="11" t="str" cm="1">
        <f t="array" ref="C2">_xlfn._xlws.FILTER(BASECLIENTS[NOM CLIENTS],BASECLIENTS[VENDREDI]="Oui","")</f>
        <v/>
      </c>
      <c r="D2" s="11" t="str" cm="1">
        <f t="array" ref="D2">_xlfn._xlws.FILTER(BASECLIENTS[VILLE],BASECLIENTS[VENDREDI]="Oui","")</f>
        <v/>
      </c>
      <c r="E2" s="11" t="str" cm="1">
        <f t="array" ref="E2">_xlfn._xlws.FILTER(BASECLIENTS[Numéro de téléphone],BASECLIENTS[VENDREDI]="Oui","")</f>
        <v/>
      </c>
      <c r="F2" s="12" t="str" cm="1">
        <f t="array" ref="F2">_xlfn._xlws.FILTER(BASECLIENTS[COMMENTAIRE],BASECLIENTS[VENDREDI]="Oui","")</f>
        <v/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 SAVOIR</vt:lpstr>
      <vt:lpstr>BASECLIENTS</vt:lpstr>
      <vt:lpstr>LUNDI</vt:lpstr>
      <vt:lpstr>MARDI</vt:lpstr>
      <vt:lpstr>MERCREDI</vt:lpstr>
      <vt:lpstr>JEUDI</vt:lpstr>
      <vt:lpstr>VENDREDI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Grosbonnet</dc:creator>
  <cp:lastModifiedBy>Lilian Grosbonnet</cp:lastModifiedBy>
  <cp:lastPrinted>2026-08-11T09:42:37Z</cp:lastPrinted>
  <dcterms:created xsi:type="dcterms:W3CDTF">2026-08-07T07:43:21Z</dcterms:created>
  <dcterms:modified xsi:type="dcterms:W3CDTF">2026-09-28T14:13:37Z</dcterms:modified>
</cp:coreProperties>
</file>